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23820"/>
  <mc:AlternateContent xmlns:mc="http://schemas.openxmlformats.org/markup-compatibility/2006">
    <mc:Choice Requires="x15">
      <x15ac:absPath xmlns:x15ac="http://schemas.microsoft.com/office/spreadsheetml/2010/11/ac" url="/Users/sudarshan/Desktop/"/>
    </mc:Choice>
  </mc:AlternateContent>
  <xr:revisionPtr revIDLastSave="219" documentId="8_{1AF1A0DA-8B7A-4329-BB13-A75F297A2612}" xr6:coauthVersionLast="47" xr6:coauthVersionMax="47" xr10:uidLastSave="{D09D72AB-AE18-AA41-A559-BEC7DBDCF697}"/>
  <bookViews>
    <workbookView xWindow="0" yWindow="660" windowWidth="29240" windowHeight="16400" tabRatio="730" activeTab="2" xr2:uid="{00000000-000D-0000-FFFF-FFFF00000000}"/>
  </bookViews>
  <sheets>
    <sheet name="L01560-2024" sheetId="3" state="hidden" r:id="rId1"/>
    <sheet name="STS-2025" sheetId="4" state="hidden" r:id="rId2"/>
    <sheet name="STS -2026" sheetId="15" r:id="rId3"/>
    <sheet name="Q1 2026" sheetId="14" state="hidden" r:id="rId4"/>
    <sheet name="Qtr Rev Variance" sheetId="7" state="hidden" r:id="rId5"/>
    <sheet name="TCV Vs EAC+Netting" sheetId="10" state="hidden" r:id="rId6"/>
    <sheet name="ISC" sheetId="11" state="hidden" r:id="rId7"/>
    <sheet name="MPOC Model" sheetId="12" state="hidden" r:id="rId8"/>
    <sheet name="Contractor" sheetId="13" r:id="rId9"/>
    <sheet name="Sheet1" sheetId="16" r:id="rId10"/>
    <sheet name="Signings" sheetId="5" state="hidden" r:id="rId11"/>
  </sheets>
  <definedNames>
    <definedName name="_xlnm._FilterDatabase" localSheetId="8" hidden="1">Contractor!$A$1:$R$11</definedName>
    <definedName name="_xlnm._FilterDatabase" localSheetId="0" hidden="1">'L01560-2024'!$A$2:$AA$46</definedName>
    <definedName name="_xlnm._FilterDatabase" localSheetId="7" hidden="1">'MPOC Model'!$A$4:$I$23</definedName>
    <definedName name="_xlnm._FilterDatabase" localSheetId="4" hidden="1">'Qtr Rev Variance'!$A$3:$P$30</definedName>
    <definedName name="_xlnm._FilterDatabase" localSheetId="2" hidden="1">'STS -2026'!$A$3:$L$53</definedName>
    <definedName name="_xlnm._FilterDatabase" localSheetId="1" hidden="1">'STS-2025'!$A$4:$Y$46</definedName>
    <definedName name="_xlnm._FilterDatabase" localSheetId="5" hidden="1">'TCV Vs EAC+Netting'!$A$2:$O$2</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15" l="1"/>
  <c r="M54" i="15"/>
  <c r="O53" i="15"/>
  <c r="P53" i="15" s="1"/>
  <c r="O52" i="15"/>
  <c r="P52" i="15" s="1"/>
  <c r="O51" i="15"/>
  <c r="P51" i="15" s="1"/>
  <c r="O50" i="15"/>
  <c r="P50" i="15" s="1"/>
  <c r="O49" i="15"/>
  <c r="P49" i="15" s="1"/>
  <c r="O48" i="15"/>
  <c r="P48" i="15" s="1"/>
  <c r="O47" i="15"/>
  <c r="P47" i="15" s="1"/>
  <c r="O46" i="15"/>
  <c r="P46" i="15" s="1"/>
  <c r="O45" i="15"/>
  <c r="P45" i="15" s="1"/>
  <c r="O44" i="15"/>
  <c r="P44" i="15" s="1"/>
  <c r="O43" i="15"/>
  <c r="P43" i="15" s="1"/>
  <c r="O42" i="15"/>
  <c r="P42" i="15" s="1"/>
  <c r="O41" i="15"/>
  <c r="P41" i="15" s="1"/>
  <c r="O40" i="15"/>
  <c r="P40" i="15" s="1"/>
  <c r="O39" i="15"/>
  <c r="P39" i="15" s="1"/>
  <c r="O38" i="15"/>
  <c r="P38" i="15" s="1"/>
  <c r="O37" i="15"/>
  <c r="P37" i="15" s="1"/>
  <c r="O36" i="15"/>
  <c r="P36" i="15" s="1"/>
  <c r="O35" i="15"/>
  <c r="P35" i="15" s="1"/>
  <c r="O34" i="15"/>
  <c r="P34" i="15" s="1"/>
  <c r="O33" i="15"/>
  <c r="P33" i="15" s="1"/>
  <c r="O32" i="15"/>
  <c r="P32" i="15" s="1"/>
  <c r="O31" i="15"/>
  <c r="P31" i="15" s="1"/>
  <c r="O30" i="15"/>
  <c r="P30" i="15" s="1"/>
  <c r="O29" i="15"/>
  <c r="P29" i="15" s="1"/>
  <c r="O28" i="15"/>
  <c r="P28" i="15" s="1"/>
  <c r="O27" i="15"/>
  <c r="P27" i="15" s="1"/>
  <c r="O26" i="15"/>
  <c r="P26" i="15" s="1"/>
  <c r="O25" i="15"/>
  <c r="P25" i="15" s="1"/>
  <c r="O24" i="15"/>
  <c r="P24" i="15" s="1"/>
  <c r="O23" i="15"/>
  <c r="P23" i="15" s="1"/>
  <c r="O22" i="15"/>
  <c r="P22" i="15" s="1"/>
  <c r="O21" i="15"/>
  <c r="P21" i="15" s="1"/>
  <c r="O20" i="15"/>
  <c r="P20" i="15" s="1"/>
  <c r="O19" i="15"/>
  <c r="P19" i="15" s="1"/>
  <c r="O18" i="15"/>
  <c r="P18" i="15" s="1"/>
  <c r="O17" i="15"/>
  <c r="P17" i="15" s="1"/>
  <c r="O16" i="15"/>
  <c r="P16" i="15" s="1"/>
  <c r="O15" i="15"/>
  <c r="P15" i="15" s="1"/>
  <c r="O14" i="15"/>
  <c r="P14" i="15" s="1"/>
  <c r="O13" i="15"/>
  <c r="P13" i="15" s="1"/>
  <c r="O12" i="15"/>
  <c r="P12" i="15" s="1"/>
  <c r="O11" i="15"/>
  <c r="P11" i="15" s="1"/>
  <c r="O10" i="15"/>
  <c r="P10" i="15" s="1"/>
  <c r="O9" i="15"/>
  <c r="P9" i="15" s="1"/>
  <c r="O8" i="15"/>
  <c r="P8" i="15" s="1"/>
  <c r="O7" i="15"/>
  <c r="O6" i="15"/>
  <c r="P6" i="15" s="1"/>
  <c r="O5" i="15"/>
  <c r="P5" i="15" s="1"/>
  <c r="O4" i="15"/>
  <c r="P4" i="15" s="1"/>
  <c r="N2" i="15"/>
  <c r="N1" i="15" s="1"/>
  <c r="M2" i="15"/>
  <c r="M1" i="15" s="1"/>
  <c r="J2" i="15"/>
  <c r="J54" i="15"/>
  <c r="I54" i="15"/>
  <c r="O1" i="15" l="1"/>
  <c r="P1" i="15" s="1"/>
  <c r="O54" i="15"/>
  <c r="P54" i="15" s="1"/>
  <c r="P7" i="15"/>
  <c r="O2" i="15"/>
  <c r="P2" i="15" s="1"/>
  <c r="J1" i="15"/>
  <c r="K53" i="15"/>
  <c r="L53" i="15" s="1"/>
  <c r="K52" i="15"/>
  <c r="L52" i="15" s="1"/>
  <c r="K51" i="15"/>
  <c r="L51" i="15" s="1"/>
  <c r="K50" i="15"/>
  <c r="L50" i="15" s="1"/>
  <c r="K49" i="15"/>
  <c r="L49" i="15" s="1"/>
  <c r="K48" i="15"/>
  <c r="L48" i="15" s="1"/>
  <c r="K47" i="15"/>
  <c r="L47" i="15" s="1"/>
  <c r="K46" i="15"/>
  <c r="L46" i="15" s="1"/>
  <c r="K45" i="15"/>
  <c r="L45" i="15" s="1"/>
  <c r="K44" i="15"/>
  <c r="L44" i="15" s="1"/>
  <c r="K43" i="15"/>
  <c r="L43" i="15" s="1"/>
  <c r="K42" i="15"/>
  <c r="L42" i="15" s="1"/>
  <c r="K41" i="15"/>
  <c r="L41" i="15" s="1"/>
  <c r="K40" i="15"/>
  <c r="L40" i="15" s="1"/>
  <c r="K39" i="15"/>
  <c r="L39" i="15" s="1"/>
  <c r="K38" i="15"/>
  <c r="L38" i="15" s="1"/>
  <c r="K37" i="15"/>
  <c r="L37" i="15" s="1"/>
  <c r="K36" i="15"/>
  <c r="L36" i="15" s="1"/>
  <c r="K35" i="15"/>
  <c r="L35" i="15" s="1"/>
  <c r="K34" i="15"/>
  <c r="L34" i="15" s="1"/>
  <c r="K33" i="15"/>
  <c r="L33" i="15" s="1"/>
  <c r="K32" i="15"/>
  <c r="L32" i="15" s="1"/>
  <c r="K31" i="15"/>
  <c r="L31" i="15" s="1"/>
  <c r="K30" i="15"/>
  <c r="I2" i="15"/>
  <c r="I1" i="15" s="1"/>
  <c r="K29" i="15"/>
  <c r="L29" i="15" s="1"/>
  <c r="K28" i="15"/>
  <c r="L28" i="15" s="1"/>
  <c r="K27" i="15"/>
  <c r="L27" i="15" s="1"/>
  <c r="K26" i="15"/>
  <c r="L26" i="15" s="1"/>
  <c r="K25" i="15"/>
  <c r="L25" i="15" s="1"/>
  <c r="K24" i="15"/>
  <c r="L24" i="15" s="1"/>
  <c r="K23" i="15"/>
  <c r="L23" i="15" s="1"/>
  <c r="K22" i="15"/>
  <c r="L22" i="15" s="1"/>
  <c r="K21" i="15"/>
  <c r="L21" i="15" s="1"/>
  <c r="K20" i="15"/>
  <c r="L20" i="15" s="1"/>
  <c r="K19" i="15"/>
  <c r="L19" i="15" s="1"/>
  <c r="K18" i="15"/>
  <c r="L18" i="15" s="1"/>
  <c r="K17" i="15"/>
  <c r="L17" i="15" s="1"/>
  <c r="K16" i="15"/>
  <c r="L16" i="15" s="1"/>
  <c r="K15" i="15"/>
  <c r="L15" i="15" s="1"/>
  <c r="K14" i="15"/>
  <c r="L14" i="15" s="1"/>
  <c r="K13" i="15"/>
  <c r="L13" i="15" s="1"/>
  <c r="K12" i="15"/>
  <c r="L12" i="15" s="1"/>
  <c r="K11" i="15"/>
  <c r="L11" i="15" s="1"/>
  <c r="K10" i="15"/>
  <c r="L10" i="15" s="1"/>
  <c r="K9" i="15"/>
  <c r="L9" i="15" s="1"/>
  <c r="K8" i="15"/>
  <c r="L8" i="15" s="1"/>
  <c r="K7" i="15"/>
  <c r="L7" i="15" s="1"/>
  <c r="K6" i="15"/>
  <c r="L6" i="15" s="1"/>
  <c r="K5" i="15"/>
  <c r="L5" i="15" s="1"/>
  <c r="K4" i="15"/>
  <c r="I3" i="14"/>
  <c r="K54" i="15" l="1"/>
  <c r="L54" i="15" s="1"/>
  <c r="L30" i="15"/>
  <c r="K2" i="15"/>
  <c r="L2" i="15" s="1"/>
  <c r="L4" i="15"/>
  <c r="U49" i="4"/>
  <c r="T49" i="4"/>
  <c r="V79" i="4"/>
  <c r="U79" i="4"/>
  <c r="T79" i="4"/>
  <c r="V78" i="4"/>
  <c r="W78" i="4" s="1"/>
  <c r="K1" i="15" l="1"/>
  <c r="L1" i="15" s="1"/>
  <c r="T3" i="4"/>
  <c r="T2" i="4" s="1"/>
  <c r="U46" i="4"/>
  <c r="T46" i="4"/>
  <c r="V38" i="4"/>
  <c r="W38" i="4" s="1"/>
  <c r="U3" i="4"/>
  <c r="U2" i="4" s="1"/>
  <c r="V45" i="4"/>
  <c r="W45" i="4" s="1"/>
  <c r="V44" i="4"/>
  <c r="W44" i="4" s="1"/>
  <c r="V43" i="4"/>
  <c r="W43" i="4" s="1"/>
  <c r="V42" i="4"/>
  <c r="W42" i="4" s="1"/>
  <c r="V77" i="4"/>
  <c r="W77" i="4" s="1"/>
  <c r="V76" i="4"/>
  <c r="W76" i="4" s="1"/>
  <c r="V75" i="4"/>
  <c r="W75" i="4" s="1"/>
  <c r="V74" i="4"/>
  <c r="W74" i="4" s="1"/>
  <c r="V73" i="4"/>
  <c r="W73" i="4" s="1"/>
  <c r="V72" i="4"/>
  <c r="W72" i="4" s="1"/>
  <c r="V71" i="4"/>
  <c r="W71" i="4" s="1"/>
  <c r="V70" i="4"/>
  <c r="W70" i="4" s="1"/>
  <c r="V69" i="4"/>
  <c r="W69" i="4" s="1"/>
  <c r="V68" i="4"/>
  <c r="W68" i="4" s="1"/>
  <c r="V67" i="4"/>
  <c r="W67" i="4" s="1"/>
  <c r="V66" i="4"/>
  <c r="W66" i="4" s="1"/>
  <c r="V65" i="4"/>
  <c r="W65" i="4" s="1"/>
  <c r="V64" i="4"/>
  <c r="W64" i="4" s="1"/>
  <c r="V63" i="4"/>
  <c r="W63" i="4" s="1"/>
  <c r="V62" i="4"/>
  <c r="W62" i="4" s="1"/>
  <c r="V61" i="4"/>
  <c r="W61" i="4" s="1"/>
  <c r="V60" i="4"/>
  <c r="W60" i="4" s="1"/>
  <c r="V59" i="4"/>
  <c r="W59" i="4" s="1"/>
  <c r="V58" i="4"/>
  <c r="W58" i="4" s="1"/>
  <c r="V57" i="4"/>
  <c r="W57" i="4" s="1"/>
  <c r="V56" i="4"/>
  <c r="W56" i="4" s="1"/>
  <c r="V55" i="4"/>
  <c r="W55" i="4" s="1"/>
  <c r="V54" i="4"/>
  <c r="W54" i="4" s="1"/>
  <c r="V53" i="4"/>
  <c r="W53" i="4" s="1"/>
  <c r="V52" i="4"/>
  <c r="W52" i="4" s="1"/>
  <c r="V51" i="4"/>
  <c r="W51" i="4" s="1"/>
  <c r="U48" i="4"/>
  <c r="T48" i="4"/>
  <c r="V41" i="4"/>
  <c r="W41" i="4" s="1"/>
  <c r="V40" i="4"/>
  <c r="W40" i="4" s="1"/>
  <c r="V39" i="4"/>
  <c r="W39" i="4" s="1"/>
  <c r="V37" i="4"/>
  <c r="W37" i="4" s="1"/>
  <c r="V36" i="4"/>
  <c r="W36" i="4" s="1"/>
  <c r="V35" i="4"/>
  <c r="W35" i="4" s="1"/>
  <c r="V34" i="4"/>
  <c r="W34" i="4" s="1"/>
  <c r="V33" i="4"/>
  <c r="W33" i="4" s="1"/>
  <c r="V32" i="4"/>
  <c r="W32" i="4" s="1"/>
  <c r="V31" i="4"/>
  <c r="W31" i="4" s="1"/>
  <c r="V30" i="4"/>
  <c r="W30" i="4" s="1"/>
  <c r="V29" i="4"/>
  <c r="W29" i="4" s="1"/>
  <c r="V28" i="4"/>
  <c r="W28" i="4" s="1"/>
  <c r="V27" i="4"/>
  <c r="W27" i="4" s="1"/>
  <c r="V26" i="4"/>
  <c r="W26" i="4" s="1"/>
  <c r="V25" i="4"/>
  <c r="W25" i="4" s="1"/>
  <c r="V24" i="4"/>
  <c r="W24" i="4" s="1"/>
  <c r="V23" i="4"/>
  <c r="W23" i="4" s="1"/>
  <c r="V22" i="4"/>
  <c r="W22" i="4" s="1"/>
  <c r="V21" i="4"/>
  <c r="W21" i="4" s="1"/>
  <c r="V20" i="4"/>
  <c r="W20" i="4" s="1"/>
  <c r="V19" i="4"/>
  <c r="W19" i="4" s="1"/>
  <c r="V18" i="4"/>
  <c r="W18" i="4" s="1"/>
  <c r="V17" i="4"/>
  <c r="W17" i="4" s="1"/>
  <c r="V16" i="4"/>
  <c r="W16" i="4" s="1"/>
  <c r="V15" i="4"/>
  <c r="W15" i="4" s="1"/>
  <c r="V14" i="4"/>
  <c r="W14" i="4" s="1"/>
  <c r="V13" i="4"/>
  <c r="W13" i="4" s="1"/>
  <c r="V12" i="4"/>
  <c r="W12" i="4" s="1"/>
  <c r="V11" i="4"/>
  <c r="W11" i="4" s="1"/>
  <c r="V10" i="4"/>
  <c r="W10" i="4" s="1"/>
  <c r="V9" i="4"/>
  <c r="W9" i="4" s="1"/>
  <c r="V8" i="4"/>
  <c r="W8" i="4" s="1"/>
  <c r="V7" i="4"/>
  <c r="W7" i="4" s="1"/>
  <c r="V6" i="4"/>
  <c r="W6" i="4" s="1"/>
  <c r="V5" i="4"/>
  <c r="W5" i="4" s="1"/>
  <c r="I79" i="4"/>
  <c r="H79" i="4"/>
  <c r="R30" i="4"/>
  <c r="S30" i="4" s="1"/>
  <c r="N30" i="4"/>
  <c r="O30" i="4" s="1"/>
  <c r="J30" i="4"/>
  <c r="K30" i="4" s="1"/>
  <c r="H3" i="14"/>
  <c r="I24" i="14"/>
  <c r="H24" i="14"/>
  <c r="I36" i="14"/>
  <c r="H36" i="14"/>
  <c r="I21" i="14"/>
  <c r="H21" i="14"/>
  <c r="J3" i="14" l="1"/>
  <c r="V46" i="4"/>
  <c r="W46" i="4" s="1"/>
  <c r="V3" i="4"/>
  <c r="W3" i="4" s="1"/>
  <c r="U1" i="4"/>
  <c r="T1" i="4"/>
  <c r="V2" i="4"/>
  <c r="W2" i="4" s="1"/>
  <c r="V48" i="4"/>
  <c r="W48" i="4" s="1"/>
  <c r="V49" i="4"/>
  <c r="W49" i="4" s="1"/>
  <c r="W79" i="4"/>
  <c r="Q3" i="4"/>
  <c r="P3" i="4"/>
  <c r="Q49" i="4"/>
  <c r="P49" i="4"/>
  <c r="Q79" i="4"/>
  <c r="P79" i="4"/>
  <c r="R77" i="4"/>
  <c r="S77" i="4" s="1"/>
  <c r="R76" i="4"/>
  <c r="S76" i="4" s="1"/>
  <c r="R75" i="4"/>
  <c r="S75" i="4" s="1"/>
  <c r="V1" i="4" l="1"/>
  <c r="W1" i="4" s="1"/>
  <c r="R3" i="4"/>
  <c r="Q46" i="4"/>
  <c r="P46" i="4"/>
  <c r="R41" i="4"/>
  <c r="S41" i="4" s="1"/>
  <c r="R40" i="4"/>
  <c r="S40" i="4" s="1"/>
  <c r="R39" i="4"/>
  <c r="S39" i="4" s="1"/>
  <c r="O39" i="4"/>
  <c r="B29" i="12"/>
  <c r="L3" i="12"/>
  <c r="B32" i="12"/>
  <c r="P12" i="12" l="1"/>
  <c r="P13" i="12"/>
  <c r="P18" i="12"/>
  <c r="P19" i="12"/>
  <c r="P20" i="12"/>
  <c r="P9" i="12"/>
  <c r="P10" i="12"/>
  <c r="P17" i="12"/>
  <c r="P6" i="12"/>
  <c r="P8" i="12"/>
  <c r="P11" i="12"/>
  <c r="P14" i="12"/>
  <c r="P16" i="12"/>
  <c r="P22" i="12"/>
  <c r="I3" i="12"/>
  <c r="H3" i="12"/>
  <c r="J6" i="12"/>
  <c r="J7" i="12"/>
  <c r="J8" i="12"/>
  <c r="J9" i="12"/>
  <c r="J10" i="12"/>
  <c r="J11" i="12"/>
  <c r="J12" i="12"/>
  <c r="J13" i="12"/>
  <c r="J14" i="12"/>
  <c r="J15" i="12"/>
  <c r="J16" i="12"/>
  <c r="J17" i="12"/>
  <c r="J18" i="12"/>
  <c r="J19" i="12"/>
  <c r="J20" i="12"/>
  <c r="J21" i="12"/>
  <c r="J22" i="12"/>
  <c r="J23" i="12"/>
  <c r="J24" i="12"/>
  <c r="J25" i="12"/>
  <c r="J26" i="12"/>
  <c r="K25" i="12"/>
  <c r="K26" i="12"/>
  <c r="P26" i="12"/>
  <c r="P25" i="12"/>
  <c r="P24" i="12"/>
  <c r="P7" i="12"/>
  <c r="P15" i="12"/>
  <c r="P5" i="12" l="1"/>
  <c r="P23" i="12"/>
  <c r="P21" i="12"/>
  <c r="Q2" i="4"/>
  <c r="P2" i="4"/>
  <c r="R51" i="4"/>
  <c r="R52" i="4"/>
  <c r="R37" i="4"/>
  <c r="S37" i="4" s="1"/>
  <c r="R36" i="4"/>
  <c r="S36" i="4" s="1"/>
  <c r="R35" i="4"/>
  <c r="S35" i="4" s="1"/>
  <c r="O35" i="4"/>
  <c r="O36" i="4"/>
  <c r="O37" i="4"/>
  <c r="R2" i="4" l="1"/>
  <c r="R33" i="4" l="1"/>
  <c r="S33" i="4" s="1"/>
  <c r="N33" i="4"/>
  <c r="O33" i="4" s="1"/>
  <c r="R74" i="4"/>
  <c r="S74" i="4" s="1"/>
  <c r="R73" i="4"/>
  <c r="S73" i="4" s="1"/>
  <c r="R72" i="4"/>
  <c r="S72" i="4" s="1"/>
  <c r="R71" i="4"/>
  <c r="S71" i="4" s="1"/>
  <c r="R70" i="4"/>
  <c r="S70" i="4" s="1"/>
  <c r="R69" i="4"/>
  <c r="S69" i="4" s="1"/>
  <c r="R68" i="4"/>
  <c r="S68" i="4" s="1"/>
  <c r="R67" i="4"/>
  <c r="S67" i="4" s="1"/>
  <c r="R66" i="4"/>
  <c r="S66" i="4" s="1"/>
  <c r="R65" i="4"/>
  <c r="S65" i="4" s="1"/>
  <c r="R64" i="4"/>
  <c r="S64" i="4" s="1"/>
  <c r="R63" i="4"/>
  <c r="S63" i="4" s="1"/>
  <c r="R62" i="4"/>
  <c r="S62" i="4" s="1"/>
  <c r="R61" i="4"/>
  <c r="S61" i="4" s="1"/>
  <c r="R60" i="4"/>
  <c r="S60" i="4" s="1"/>
  <c r="R59" i="4"/>
  <c r="S59" i="4" s="1"/>
  <c r="R58" i="4"/>
  <c r="S58" i="4" s="1"/>
  <c r="R57" i="4"/>
  <c r="S57" i="4" s="1"/>
  <c r="R56" i="4"/>
  <c r="S56" i="4" s="1"/>
  <c r="R55" i="4"/>
  <c r="S55" i="4" s="1"/>
  <c r="R54" i="4"/>
  <c r="S54" i="4" s="1"/>
  <c r="R53" i="4"/>
  <c r="S52" i="4"/>
  <c r="S51" i="4"/>
  <c r="R34" i="4"/>
  <c r="S34" i="4" s="1"/>
  <c r="R32" i="4"/>
  <c r="S32" i="4" s="1"/>
  <c r="R31" i="4"/>
  <c r="S31" i="4" s="1"/>
  <c r="R29" i="4"/>
  <c r="S29" i="4" s="1"/>
  <c r="R28" i="4"/>
  <c r="S28" i="4" s="1"/>
  <c r="R27" i="4"/>
  <c r="S27" i="4" s="1"/>
  <c r="R26" i="4"/>
  <c r="S26" i="4" s="1"/>
  <c r="R25" i="4"/>
  <c r="S25" i="4" s="1"/>
  <c r="R24" i="4"/>
  <c r="S24" i="4" s="1"/>
  <c r="R23" i="4"/>
  <c r="S23" i="4" s="1"/>
  <c r="R22" i="4"/>
  <c r="S22" i="4" s="1"/>
  <c r="R21" i="4"/>
  <c r="S21" i="4" s="1"/>
  <c r="R20" i="4"/>
  <c r="S20" i="4" s="1"/>
  <c r="R19" i="4"/>
  <c r="S19" i="4" s="1"/>
  <c r="R18" i="4"/>
  <c r="S18" i="4" s="1"/>
  <c r="R17" i="4"/>
  <c r="S17" i="4" s="1"/>
  <c r="R16" i="4"/>
  <c r="S16" i="4" s="1"/>
  <c r="R15" i="4"/>
  <c r="S15" i="4" s="1"/>
  <c r="R14" i="4"/>
  <c r="S14" i="4" s="1"/>
  <c r="R13" i="4"/>
  <c r="S13" i="4" s="1"/>
  <c r="R12" i="4"/>
  <c r="S12" i="4" s="1"/>
  <c r="R11" i="4"/>
  <c r="S11" i="4" s="1"/>
  <c r="R10" i="4"/>
  <c r="S10" i="4" s="1"/>
  <c r="R9" i="4"/>
  <c r="R8" i="4"/>
  <c r="S8" i="4" s="1"/>
  <c r="R7" i="4"/>
  <c r="S7" i="4" s="1"/>
  <c r="R6" i="4"/>
  <c r="S6" i="4" s="1"/>
  <c r="R5" i="4"/>
  <c r="Q48" i="4"/>
  <c r="Q1" i="4" s="1"/>
  <c r="P48" i="4"/>
  <c r="P1" i="4" s="1"/>
  <c r="S53" i="4" l="1"/>
  <c r="R79" i="4"/>
  <c r="S79" i="4" s="1"/>
  <c r="R46" i="4"/>
  <c r="S46" i="4" s="1"/>
  <c r="R1" i="4"/>
  <c r="S9" i="4"/>
  <c r="R48" i="4"/>
  <c r="S48" i="4" s="1"/>
  <c r="S3" i="4"/>
  <c r="S5" i="4"/>
  <c r="R49" i="4"/>
  <c r="S49" i="4" s="1"/>
  <c r="S2" i="4"/>
  <c r="S1" i="4" l="1"/>
  <c r="M46" i="4" l="1"/>
  <c r="L46" i="4"/>
  <c r="N34" i="4"/>
  <c r="O34" i="4" s="1"/>
  <c r="J35" i="14" l="1"/>
  <c r="K35" i="14" s="1"/>
  <c r="J34" i="14"/>
  <c r="K34" i="14" s="1"/>
  <c r="J33" i="14"/>
  <c r="K33" i="14" s="1"/>
  <c r="J32" i="14"/>
  <c r="K32" i="14" s="1"/>
  <c r="J31" i="14"/>
  <c r="K31" i="14" s="1"/>
  <c r="J30" i="14"/>
  <c r="K30" i="14" s="1"/>
  <c r="J29" i="14"/>
  <c r="K29" i="14" s="1"/>
  <c r="J28" i="14"/>
  <c r="K28" i="14" s="1"/>
  <c r="J27" i="14"/>
  <c r="K27" i="14" s="1"/>
  <c r="J26" i="14"/>
  <c r="I23" i="14"/>
  <c r="H23" i="14"/>
  <c r="J20" i="14"/>
  <c r="K20" i="14" s="1"/>
  <c r="J19" i="14"/>
  <c r="K19" i="14" s="1"/>
  <c r="J18" i="14"/>
  <c r="K18" i="14" s="1"/>
  <c r="J17" i="14"/>
  <c r="K17" i="14" s="1"/>
  <c r="J16" i="14"/>
  <c r="K16" i="14" s="1"/>
  <c r="J15" i="14"/>
  <c r="K15" i="14" s="1"/>
  <c r="J14" i="14"/>
  <c r="K14" i="14" s="1"/>
  <c r="J13" i="14"/>
  <c r="K13" i="14" s="1"/>
  <c r="J12" i="14"/>
  <c r="K12" i="14" s="1"/>
  <c r="J11" i="14"/>
  <c r="K11" i="14" s="1"/>
  <c r="J10" i="14"/>
  <c r="K10" i="14" s="1"/>
  <c r="J9" i="14"/>
  <c r="K9" i="14" s="1"/>
  <c r="J8" i="14"/>
  <c r="K8" i="14" s="1"/>
  <c r="J7" i="14"/>
  <c r="K7" i="14" s="1"/>
  <c r="J6" i="14"/>
  <c r="K6" i="14" s="1"/>
  <c r="J5" i="14"/>
  <c r="I2" i="14"/>
  <c r="H2" i="14"/>
  <c r="M79" i="4"/>
  <c r="N74" i="4"/>
  <c r="O74" i="4" s="1"/>
  <c r="J74" i="4"/>
  <c r="K74" i="4" s="1"/>
  <c r="N73" i="4"/>
  <c r="O73" i="4" s="1"/>
  <c r="J73" i="4"/>
  <c r="K73" i="4" s="1"/>
  <c r="N72" i="4"/>
  <c r="O72" i="4" s="1"/>
  <c r="J72" i="4"/>
  <c r="K72" i="4" s="1"/>
  <c r="N71" i="4"/>
  <c r="O71" i="4" s="1"/>
  <c r="J71" i="4"/>
  <c r="K71" i="4" s="1"/>
  <c r="N70" i="4"/>
  <c r="O70" i="4" s="1"/>
  <c r="J70" i="4"/>
  <c r="K70" i="4" s="1"/>
  <c r="N69" i="4"/>
  <c r="O69" i="4" s="1"/>
  <c r="J69" i="4"/>
  <c r="K69" i="4" s="1"/>
  <c r="N68" i="4"/>
  <c r="O68" i="4" s="1"/>
  <c r="J68" i="4"/>
  <c r="K68" i="4" s="1"/>
  <c r="N67" i="4"/>
  <c r="O67" i="4" s="1"/>
  <c r="J67" i="4"/>
  <c r="N66" i="4"/>
  <c r="O66" i="4" s="1"/>
  <c r="J66" i="4"/>
  <c r="K66" i="4" s="1"/>
  <c r="L79" i="4"/>
  <c r="J65" i="4"/>
  <c r="K65" i="4" s="1"/>
  <c r="N64" i="4"/>
  <c r="O64" i="4" s="1"/>
  <c r="J64" i="4"/>
  <c r="K64" i="4" s="1"/>
  <c r="N63" i="4"/>
  <c r="O63" i="4" s="1"/>
  <c r="J63" i="4"/>
  <c r="K63" i="4" s="1"/>
  <c r="N62" i="4"/>
  <c r="O62" i="4" s="1"/>
  <c r="J62" i="4"/>
  <c r="K62" i="4" s="1"/>
  <c r="N61" i="4"/>
  <c r="O61" i="4" s="1"/>
  <c r="J61" i="4"/>
  <c r="K61" i="4" s="1"/>
  <c r="N60" i="4"/>
  <c r="O60" i="4" s="1"/>
  <c r="J60" i="4"/>
  <c r="K60" i="4" s="1"/>
  <c r="N59" i="4"/>
  <c r="O59" i="4" s="1"/>
  <c r="J59" i="4"/>
  <c r="K59" i="4" s="1"/>
  <c r="N58" i="4"/>
  <c r="O58" i="4" s="1"/>
  <c r="J58" i="4"/>
  <c r="K58" i="4" s="1"/>
  <c r="N57" i="4"/>
  <c r="O57" i="4" s="1"/>
  <c r="J57" i="4"/>
  <c r="K57" i="4" s="1"/>
  <c r="N56" i="4"/>
  <c r="O56" i="4" s="1"/>
  <c r="J56" i="4"/>
  <c r="K56" i="4" s="1"/>
  <c r="N55" i="4"/>
  <c r="O55" i="4" s="1"/>
  <c r="J55" i="4"/>
  <c r="K55" i="4" s="1"/>
  <c r="N54" i="4"/>
  <c r="O54" i="4" s="1"/>
  <c r="J54" i="4"/>
  <c r="K54" i="4" s="1"/>
  <c r="N53" i="4"/>
  <c r="O53" i="4" s="1"/>
  <c r="J53" i="4"/>
  <c r="K53" i="4" s="1"/>
  <c r="N52" i="4"/>
  <c r="O52" i="4" s="1"/>
  <c r="J52" i="4"/>
  <c r="K52" i="4" s="1"/>
  <c r="N51" i="4"/>
  <c r="O51" i="4" s="1"/>
  <c r="J51" i="4"/>
  <c r="M49" i="4"/>
  <c r="M48" i="4" s="1"/>
  <c r="I49" i="4"/>
  <c r="H49" i="4"/>
  <c r="H48" i="4" s="1"/>
  <c r="J2" i="14" l="1"/>
  <c r="K2" i="14" s="1"/>
  <c r="J36" i="14"/>
  <c r="K51" i="4"/>
  <c r="J79" i="4"/>
  <c r="K79" i="4" s="1"/>
  <c r="K5" i="14"/>
  <c r="J21" i="14"/>
  <c r="K21" i="14" s="1"/>
  <c r="J23" i="14"/>
  <c r="K23" i="14" s="1"/>
  <c r="H1" i="14"/>
  <c r="J24" i="14"/>
  <c r="K24" i="14" s="1"/>
  <c r="K36" i="14"/>
  <c r="I1" i="14"/>
  <c r="K3" i="14"/>
  <c r="K26" i="14"/>
  <c r="J49" i="4"/>
  <c r="K49" i="4" s="1"/>
  <c r="I48" i="4"/>
  <c r="J48" i="4" s="1"/>
  <c r="K48" i="4" s="1"/>
  <c r="K67" i="4"/>
  <c r="N65" i="4"/>
  <c r="O65" i="4" s="1"/>
  <c r="L49" i="4"/>
  <c r="N79" i="4" l="1"/>
  <c r="O79" i="4" s="1"/>
  <c r="J1" i="14"/>
  <c r="K1" i="14" s="1"/>
  <c r="L48" i="4"/>
  <c r="N48" i="4" s="1"/>
  <c r="O48" i="4" s="1"/>
  <c r="N49" i="4"/>
  <c r="O49" i="4" s="1"/>
  <c r="K12" i="12" l="1"/>
  <c r="K18" i="12"/>
  <c r="J5" i="12"/>
  <c r="J3" i="12" s="1"/>
  <c r="H2" i="12"/>
  <c r="I3" i="4"/>
  <c r="I2" i="4" s="1"/>
  <c r="I1" i="4" s="1"/>
  <c r="U1" i="3"/>
  <c r="T1" i="3"/>
  <c r="Q1" i="3"/>
  <c r="P1" i="3"/>
  <c r="M1" i="3"/>
  <c r="L1" i="3"/>
  <c r="I1" i="3"/>
  <c r="J1" i="3" s="1"/>
  <c r="K1" i="3" s="1"/>
  <c r="H1" i="3"/>
  <c r="M4" i="10"/>
  <c r="N4" i="10"/>
  <c r="M5" i="10"/>
  <c r="N5" i="10"/>
  <c r="M6" i="10"/>
  <c r="N6" i="10"/>
  <c r="M7" i="10"/>
  <c r="N7" i="10"/>
  <c r="M8" i="10"/>
  <c r="N8" i="10"/>
  <c r="M9" i="10"/>
  <c r="N9" i="10"/>
  <c r="M10" i="10"/>
  <c r="N10" i="10"/>
  <c r="M11" i="10"/>
  <c r="N11" i="10"/>
  <c r="M12" i="10"/>
  <c r="N12" i="10"/>
  <c r="M13" i="10"/>
  <c r="N13" i="10"/>
  <c r="M14" i="10"/>
  <c r="N14" i="10"/>
  <c r="M15" i="10"/>
  <c r="N15" i="10"/>
  <c r="M16" i="10"/>
  <c r="N16" i="10"/>
  <c r="M17" i="10"/>
  <c r="N17" i="10"/>
  <c r="M18" i="10"/>
  <c r="N18" i="10"/>
  <c r="M19" i="10"/>
  <c r="N19" i="10"/>
  <c r="M20" i="10"/>
  <c r="N20" i="10"/>
  <c r="M21" i="10"/>
  <c r="N21" i="10"/>
  <c r="M22" i="10"/>
  <c r="N22" i="10"/>
  <c r="M23" i="10"/>
  <c r="N23" i="10"/>
  <c r="M24" i="10"/>
  <c r="N24" i="10"/>
  <c r="M25" i="10"/>
  <c r="N25" i="10"/>
  <c r="M26" i="10"/>
  <c r="N26" i="10"/>
  <c r="M27" i="10"/>
  <c r="N27" i="10"/>
  <c r="N3" i="10"/>
  <c r="M3" i="10"/>
  <c r="K5" i="12" l="1"/>
  <c r="N1" i="3"/>
  <c r="O1" i="3" s="1"/>
  <c r="R1" i="3"/>
  <c r="S1" i="3" s="1"/>
  <c r="V1" i="3"/>
  <c r="W1" i="3" s="1"/>
  <c r="L2" i="12"/>
  <c r="P2" i="12" s="1"/>
  <c r="H27" i="7"/>
  <c r="J27" i="7"/>
  <c r="J31" i="7" s="1"/>
  <c r="I27" i="7"/>
  <c r="I31" i="7" s="1"/>
  <c r="O27" i="7"/>
  <c r="H16" i="7"/>
  <c r="J16" i="7"/>
  <c r="O16" i="7"/>
  <c r="N31" i="7"/>
  <c r="M31" i="7"/>
  <c r="L31" i="7"/>
  <c r="K23" i="7"/>
  <c r="O23" i="7"/>
  <c r="O5" i="7"/>
  <c r="O6" i="7"/>
  <c r="O7" i="7"/>
  <c r="O8" i="7"/>
  <c r="O9" i="7"/>
  <c r="O10" i="7"/>
  <c r="O11" i="7"/>
  <c r="O12" i="7"/>
  <c r="O13" i="7"/>
  <c r="O14" i="7"/>
  <c r="O15" i="7"/>
  <c r="O17" i="7"/>
  <c r="O18" i="7"/>
  <c r="O19" i="7"/>
  <c r="O20" i="7"/>
  <c r="O21" i="7"/>
  <c r="O22" i="7"/>
  <c r="O24" i="7"/>
  <c r="O25" i="7"/>
  <c r="O26" i="7"/>
  <c r="O28" i="7"/>
  <c r="O29" i="7"/>
  <c r="O30" i="7"/>
  <c r="H31" i="7" l="1"/>
  <c r="H2" i="7" s="1"/>
  <c r="K27" i="7"/>
  <c r="P27" i="7" s="1"/>
  <c r="K16" i="7"/>
  <c r="P16" i="7" s="1"/>
  <c r="P23" i="7"/>
  <c r="O4" i="7"/>
  <c r="O31" i="7" s="1"/>
  <c r="N2" i="7"/>
  <c r="M2" i="7"/>
  <c r="L2" i="7"/>
  <c r="I2" i="7"/>
  <c r="J2" i="7"/>
  <c r="K5" i="7"/>
  <c r="P5" i="7" s="1"/>
  <c r="K6" i="7"/>
  <c r="P6" i="7" s="1"/>
  <c r="K7" i="7"/>
  <c r="P7" i="7" s="1"/>
  <c r="K8" i="7"/>
  <c r="P8" i="7" s="1"/>
  <c r="K9" i="7"/>
  <c r="K10" i="7"/>
  <c r="P10" i="7" s="1"/>
  <c r="K11" i="7"/>
  <c r="P11" i="7" s="1"/>
  <c r="K12" i="7"/>
  <c r="P12" i="7" s="1"/>
  <c r="K13" i="7"/>
  <c r="P13" i="7" s="1"/>
  <c r="K14" i="7"/>
  <c r="P14" i="7" s="1"/>
  <c r="K15" i="7"/>
  <c r="P15" i="7" s="1"/>
  <c r="K17" i="7"/>
  <c r="P17" i="7" s="1"/>
  <c r="K18" i="7"/>
  <c r="P18" i="7" s="1"/>
  <c r="K19" i="7"/>
  <c r="P19" i="7" s="1"/>
  <c r="K20" i="7"/>
  <c r="P20" i="7" s="1"/>
  <c r="K21" i="7"/>
  <c r="P21" i="7" s="1"/>
  <c r="K22" i="7"/>
  <c r="P22" i="7" s="1"/>
  <c r="K24" i="7"/>
  <c r="P24" i="7" s="1"/>
  <c r="K25" i="7"/>
  <c r="P25" i="7" s="1"/>
  <c r="K26" i="7"/>
  <c r="P26" i="7" s="1"/>
  <c r="K28" i="7"/>
  <c r="K29" i="7"/>
  <c r="P29" i="7" s="1"/>
  <c r="K30" i="7"/>
  <c r="P30" i="7" s="1"/>
  <c r="K4" i="7"/>
  <c r="P4" i="7" l="1"/>
  <c r="O2" i="7"/>
  <c r="P28" i="7"/>
  <c r="P9" i="7"/>
  <c r="K31" i="7"/>
  <c r="K2" i="7" s="1"/>
  <c r="P31" i="7" l="1"/>
  <c r="P2" i="7" s="1"/>
  <c r="N5" i="4"/>
  <c r="N13" i="4"/>
  <c r="O13" i="4" s="1"/>
  <c r="N21" i="4"/>
  <c r="O21" i="4" s="1"/>
  <c r="N23" i="4"/>
  <c r="O23" i="4" s="1"/>
  <c r="N29" i="4"/>
  <c r="O29" i="4" s="1"/>
  <c r="N12" i="4"/>
  <c r="O12" i="4" s="1"/>
  <c r="N18" i="4"/>
  <c r="O18" i="4" s="1"/>
  <c r="N20" i="4"/>
  <c r="O20" i="4" s="1"/>
  <c r="N27" i="4"/>
  <c r="O27" i="4" s="1"/>
  <c r="N28" i="4"/>
  <c r="O28" i="4" s="1"/>
  <c r="N31" i="4"/>
  <c r="O31" i="4" s="1"/>
  <c r="M3" i="4"/>
  <c r="M2" i="4" s="1"/>
  <c r="M1" i="4" s="1"/>
  <c r="L3" i="4"/>
  <c r="L2" i="4" s="1"/>
  <c r="L1" i="4" s="1"/>
  <c r="N32" i="4"/>
  <c r="O32" i="4" s="1"/>
  <c r="N6" i="4"/>
  <c r="O6" i="4" s="1"/>
  <c r="N7" i="4"/>
  <c r="O7" i="4" s="1"/>
  <c r="N8" i="4"/>
  <c r="O8" i="4" s="1"/>
  <c r="N9" i="4"/>
  <c r="O9" i="4" s="1"/>
  <c r="N10" i="4"/>
  <c r="O10" i="4" s="1"/>
  <c r="N11" i="4"/>
  <c r="O11" i="4" s="1"/>
  <c r="N14" i="4"/>
  <c r="O14" i="4" s="1"/>
  <c r="N15" i="4"/>
  <c r="O15" i="4" s="1"/>
  <c r="N16" i="4"/>
  <c r="O16" i="4" s="1"/>
  <c r="N17" i="4"/>
  <c r="O17" i="4" s="1"/>
  <c r="N19" i="4"/>
  <c r="O19" i="4" s="1"/>
  <c r="N22" i="4"/>
  <c r="O22" i="4" s="1"/>
  <c r="N24" i="4"/>
  <c r="O24" i="4" s="1"/>
  <c r="N25" i="4"/>
  <c r="O25" i="4" s="1"/>
  <c r="N26" i="4"/>
  <c r="O26" i="4" s="1"/>
  <c r="H46" i="4"/>
  <c r="I46" i="4"/>
  <c r="N46" i="4" l="1"/>
  <c r="O46" i="4" s="1"/>
  <c r="N1" i="4"/>
  <c r="O1" i="4" s="1"/>
  <c r="N2" i="4"/>
  <c r="O2" i="4" s="1"/>
  <c r="O5" i="4"/>
  <c r="N3" i="4"/>
  <c r="O3" i="4" s="1"/>
  <c r="H3" i="4"/>
  <c r="H2" i="4" s="1"/>
  <c r="J2" i="4" l="1"/>
  <c r="K2" i="4" s="1"/>
  <c r="H1" i="4"/>
  <c r="J1" i="4" s="1"/>
  <c r="K1" i="4" s="1"/>
  <c r="F1" i="5"/>
  <c r="J15" i="4"/>
  <c r="K15" i="4" s="1"/>
  <c r="J6" i="4"/>
  <c r="K6" i="4" s="1"/>
  <c r="J7" i="4"/>
  <c r="K7" i="4" s="1"/>
  <c r="J8" i="4"/>
  <c r="K8" i="4" s="1"/>
  <c r="J9" i="4"/>
  <c r="K9" i="4" s="1"/>
  <c r="J10" i="4"/>
  <c r="K10" i="4" s="1"/>
  <c r="J11" i="4"/>
  <c r="K11" i="4" s="1"/>
  <c r="J12" i="4"/>
  <c r="K12" i="4" s="1"/>
  <c r="J13" i="4"/>
  <c r="K13" i="4" s="1"/>
  <c r="J14" i="4"/>
  <c r="K14" i="4" s="1"/>
  <c r="J16" i="4"/>
  <c r="K16" i="4" s="1"/>
  <c r="J17" i="4"/>
  <c r="K17" i="4" s="1"/>
  <c r="J18" i="4"/>
  <c r="K18" i="4" s="1"/>
  <c r="J19" i="4"/>
  <c r="K19" i="4" s="1"/>
  <c r="J20" i="4"/>
  <c r="K20" i="4" s="1"/>
  <c r="J21" i="4"/>
  <c r="K21" i="4" s="1"/>
  <c r="J22" i="4"/>
  <c r="K22" i="4" s="1"/>
  <c r="J23" i="4"/>
  <c r="K23" i="4" s="1"/>
  <c r="J24" i="4"/>
  <c r="K24" i="4" s="1"/>
  <c r="J25" i="4"/>
  <c r="K25" i="4" s="1"/>
  <c r="J26" i="4"/>
  <c r="K26" i="4" s="1"/>
  <c r="J27" i="4"/>
  <c r="K27" i="4" s="1"/>
  <c r="J28" i="4"/>
  <c r="K28" i="4" s="1"/>
  <c r="J29" i="4"/>
  <c r="K29" i="4" s="1"/>
  <c r="W42" i="3"/>
  <c r="V4" i="3"/>
  <c r="W4" i="3" s="1"/>
  <c r="V5" i="3"/>
  <c r="W5" i="3" s="1"/>
  <c r="V6" i="3"/>
  <c r="W6" i="3" s="1"/>
  <c r="V7" i="3"/>
  <c r="W7" i="3" s="1"/>
  <c r="V8" i="3"/>
  <c r="W8" i="3" s="1"/>
  <c r="V9" i="3"/>
  <c r="W9" i="3" s="1"/>
  <c r="V10" i="3"/>
  <c r="W10" i="3" s="1"/>
  <c r="V11" i="3"/>
  <c r="W11" i="3" s="1"/>
  <c r="V12" i="3"/>
  <c r="W12" i="3" s="1"/>
  <c r="V13" i="3"/>
  <c r="W13" i="3" s="1"/>
  <c r="V14" i="3"/>
  <c r="W14" i="3" s="1"/>
  <c r="V15" i="3"/>
  <c r="W15" i="3" s="1"/>
  <c r="V16" i="3"/>
  <c r="W16" i="3" s="1"/>
  <c r="V17" i="3"/>
  <c r="W17" i="3" s="1"/>
  <c r="V18" i="3"/>
  <c r="W18" i="3" s="1"/>
  <c r="V19" i="3"/>
  <c r="W19" i="3" s="1"/>
  <c r="V20" i="3"/>
  <c r="W20" i="3" s="1"/>
  <c r="V21" i="3"/>
  <c r="W21" i="3" s="1"/>
  <c r="V22" i="3"/>
  <c r="W22" i="3" s="1"/>
  <c r="V23" i="3"/>
  <c r="W23" i="3" s="1"/>
  <c r="V24" i="3"/>
  <c r="W24" i="3" s="1"/>
  <c r="V25" i="3"/>
  <c r="W25" i="3" s="1"/>
  <c r="V26" i="3"/>
  <c r="W26" i="3" s="1"/>
  <c r="V27" i="3"/>
  <c r="W27" i="3" s="1"/>
  <c r="V28" i="3"/>
  <c r="W28" i="3" s="1"/>
  <c r="V29" i="3"/>
  <c r="W29" i="3" s="1"/>
  <c r="V30" i="3"/>
  <c r="W30" i="3" s="1"/>
  <c r="V31" i="3"/>
  <c r="W31" i="3" s="1"/>
  <c r="V32" i="3"/>
  <c r="W32" i="3" s="1"/>
  <c r="V33" i="3"/>
  <c r="W33" i="3" s="1"/>
  <c r="V34" i="3"/>
  <c r="W34" i="3" s="1"/>
  <c r="V35" i="3"/>
  <c r="W35" i="3" s="1"/>
  <c r="V36" i="3"/>
  <c r="W36" i="3" s="1"/>
  <c r="V37" i="3"/>
  <c r="W37" i="3" s="1"/>
  <c r="V38" i="3"/>
  <c r="W38" i="3" s="1"/>
  <c r="V39" i="3"/>
  <c r="W39" i="3" s="1"/>
  <c r="V40" i="3"/>
  <c r="W40" i="3" s="1"/>
  <c r="V41" i="3"/>
  <c r="W41" i="3" s="1"/>
  <c r="V42" i="3"/>
  <c r="V43" i="3"/>
  <c r="W43" i="3" s="1"/>
  <c r="V44" i="3"/>
  <c r="W44" i="3" s="1"/>
  <c r="S39" i="3"/>
  <c r="S42" i="3"/>
  <c r="R38" i="3"/>
  <c r="S38" i="3" s="1"/>
  <c r="R39" i="3"/>
  <c r="R40" i="3"/>
  <c r="S40" i="3" s="1"/>
  <c r="R41" i="3"/>
  <c r="S41" i="3" s="1"/>
  <c r="R42" i="3"/>
  <c r="R43" i="3"/>
  <c r="S43" i="3" s="1"/>
  <c r="R44" i="3"/>
  <c r="S44" i="3" s="1"/>
  <c r="J3" i="4" l="1"/>
  <c r="K3" i="4" s="1"/>
  <c r="J5" i="4" l="1"/>
  <c r="X4" i="3"/>
  <c r="Y4" i="3"/>
  <c r="X5" i="3"/>
  <c r="Y5" i="3"/>
  <c r="X6" i="3"/>
  <c r="Y6" i="3"/>
  <c r="X7" i="3"/>
  <c r="Y7" i="3"/>
  <c r="X8" i="3"/>
  <c r="Y8" i="3"/>
  <c r="X9" i="3"/>
  <c r="Y9" i="3"/>
  <c r="X10" i="3"/>
  <c r="Y10" i="3"/>
  <c r="X11" i="3"/>
  <c r="Y11" i="3"/>
  <c r="X12" i="3"/>
  <c r="Y12" i="3"/>
  <c r="X13" i="3"/>
  <c r="Y13" i="3"/>
  <c r="X14" i="3"/>
  <c r="Y14" i="3"/>
  <c r="X15" i="3"/>
  <c r="Y15" i="3"/>
  <c r="X16" i="3"/>
  <c r="Y16" i="3"/>
  <c r="X17" i="3"/>
  <c r="Y17" i="3"/>
  <c r="X18" i="3"/>
  <c r="Y18" i="3"/>
  <c r="X19" i="3"/>
  <c r="Y19" i="3"/>
  <c r="X20" i="3"/>
  <c r="Y20" i="3"/>
  <c r="X21" i="3"/>
  <c r="Y21" i="3"/>
  <c r="X22" i="3"/>
  <c r="Y22" i="3"/>
  <c r="X23" i="3"/>
  <c r="Y23" i="3"/>
  <c r="X24" i="3"/>
  <c r="Y24" i="3"/>
  <c r="X25" i="3"/>
  <c r="Y25" i="3"/>
  <c r="X26" i="3"/>
  <c r="Y26" i="3"/>
  <c r="X27" i="3"/>
  <c r="Y27" i="3"/>
  <c r="X28" i="3"/>
  <c r="Y28" i="3"/>
  <c r="X29" i="3"/>
  <c r="Y29" i="3"/>
  <c r="X30" i="3"/>
  <c r="Y30" i="3"/>
  <c r="X31" i="3"/>
  <c r="Y31" i="3"/>
  <c r="X32" i="3"/>
  <c r="Y32" i="3"/>
  <c r="X33" i="3"/>
  <c r="Y33" i="3"/>
  <c r="X34" i="3"/>
  <c r="Y34" i="3"/>
  <c r="X35" i="3"/>
  <c r="Y35" i="3"/>
  <c r="X36" i="3"/>
  <c r="Y36" i="3"/>
  <c r="X37" i="3"/>
  <c r="Y37" i="3"/>
  <c r="X38" i="3"/>
  <c r="Y38" i="3"/>
  <c r="X39" i="3"/>
  <c r="Y39" i="3"/>
  <c r="X40" i="3"/>
  <c r="Y40" i="3"/>
  <c r="X41" i="3"/>
  <c r="Y41" i="3"/>
  <c r="X42" i="3"/>
  <c r="Y42" i="3"/>
  <c r="X43" i="3"/>
  <c r="Y43" i="3"/>
  <c r="X44" i="3"/>
  <c r="Y44" i="3"/>
  <c r="U45" i="3"/>
  <c r="T45" i="3"/>
  <c r="Q45" i="3"/>
  <c r="P45" i="3"/>
  <c r="M45" i="3"/>
  <c r="L45" i="3"/>
  <c r="I45" i="3"/>
  <c r="H45" i="3"/>
  <c r="R24" i="3"/>
  <c r="S24" i="3" s="1"/>
  <c r="R25" i="3"/>
  <c r="S25" i="3" s="1"/>
  <c r="R26" i="3"/>
  <c r="S26" i="3" s="1"/>
  <c r="R27" i="3"/>
  <c r="S27" i="3" s="1"/>
  <c r="R28" i="3"/>
  <c r="S28" i="3" s="1"/>
  <c r="R29" i="3"/>
  <c r="S29" i="3" s="1"/>
  <c r="R30" i="3"/>
  <c r="S30" i="3" s="1"/>
  <c r="R31" i="3"/>
  <c r="S31" i="3" s="1"/>
  <c r="R32" i="3"/>
  <c r="S32" i="3" s="1"/>
  <c r="R33" i="3"/>
  <c r="S33" i="3" s="1"/>
  <c r="R34" i="3"/>
  <c r="S34" i="3" s="1"/>
  <c r="R35" i="3"/>
  <c r="S35" i="3" s="1"/>
  <c r="R36" i="3"/>
  <c r="S36" i="3" s="1"/>
  <c r="R37" i="3"/>
  <c r="S37" i="3" s="1"/>
  <c r="N24" i="3"/>
  <c r="O24" i="3" s="1"/>
  <c r="N25" i="3"/>
  <c r="O25" i="3" s="1"/>
  <c r="N26" i="3"/>
  <c r="O26" i="3" s="1"/>
  <c r="N27" i="3"/>
  <c r="O27" i="3" s="1"/>
  <c r="N28" i="3"/>
  <c r="O28" i="3" s="1"/>
  <c r="N29" i="3"/>
  <c r="O29" i="3" s="1"/>
  <c r="N30" i="3"/>
  <c r="O30" i="3" s="1"/>
  <c r="N31" i="3"/>
  <c r="O31" i="3" s="1"/>
  <c r="N32" i="3"/>
  <c r="O32" i="3" s="1"/>
  <c r="N33" i="3"/>
  <c r="O33" i="3" s="1"/>
  <c r="N34" i="3"/>
  <c r="O34" i="3" s="1"/>
  <c r="N35" i="3"/>
  <c r="O35" i="3" s="1"/>
  <c r="N36" i="3"/>
  <c r="O36" i="3" s="1"/>
  <c r="N37" i="3"/>
  <c r="O37" i="3" s="1"/>
  <c r="J24" i="3"/>
  <c r="K24" i="3" s="1"/>
  <c r="J25" i="3"/>
  <c r="K25" i="3" s="1"/>
  <c r="J26" i="3"/>
  <c r="K26" i="3" s="1"/>
  <c r="J27" i="3"/>
  <c r="K27" i="3" s="1"/>
  <c r="J28" i="3"/>
  <c r="K28" i="3" s="1"/>
  <c r="J29" i="3"/>
  <c r="K29" i="3" s="1"/>
  <c r="J30" i="3"/>
  <c r="K30" i="3" s="1"/>
  <c r="J31" i="3"/>
  <c r="K31" i="3" s="1"/>
  <c r="J32" i="3"/>
  <c r="K32" i="3" s="1"/>
  <c r="J33" i="3"/>
  <c r="K33" i="3" s="1"/>
  <c r="J34" i="3"/>
  <c r="K34" i="3" s="1"/>
  <c r="J35" i="3"/>
  <c r="K35" i="3" s="1"/>
  <c r="J36" i="3"/>
  <c r="K36" i="3" s="1"/>
  <c r="J37" i="3"/>
  <c r="K37" i="3" s="1"/>
  <c r="Y3" i="3"/>
  <c r="X3" i="3"/>
  <c r="V3" i="3"/>
  <c r="W3"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R7" i="3"/>
  <c r="S7" i="3" s="1"/>
  <c r="R6" i="3"/>
  <c r="S6" i="3" s="1"/>
  <c r="R5" i="3"/>
  <c r="S5" i="3" s="1"/>
  <c r="R4" i="3"/>
  <c r="S4" i="3" s="1"/>
  <c r="R3" i="3"/>
  <c r="S3" i="3" s="1"/>
  <c r="N4" i="3"/>
  <c r="O4" i="3" s="1"/>
  <c r="N5" i="3"/>
  <c r="O5" i="3" s="1"/>
  <c r="N6" i="3"/>
  <c r="O6" i="3" s="1"/>
  <c r="N7" i="3"/>
  <c r="O7" i="3" s="1"/>
  <c r="N8" i="3"/>
  <c r="O8" i="3" s="1"/>
  <c r="N9" i="3"/>
  <c r="O9" i="3" s="1"/>
  <c r="N10" i="3"/>
  <c r="O10" i="3" s="1"/>
  <c r="N11" i="3"/>
  <c r="O11" i="3" s="1"/>
  <c r="N12" i="3"/>
  <c r="O12" i="3" s="1"/>
  <c r="N13" i="3"/>
  <c r="O13" i="3" s="1"/>
  <c r="N14" i="3"/>
  <c r="O14" i="3" s="1"/>
  <c r="N15" i="3"/>
  <c r="O15" i="3" s="1"/>
  <c r="N16" i="3"/>
  <c r="O16" i="3" s="1"/>
  <c r="N17" i="3"/>
  <c r="O17" i="3" s="1"/>
  <c r="N18" i="3"/>
  <c r="O18" i="3" s="1"/>
  <c r="N19" i="3"/>
  <c r="O19" i="3" s="1"/>
  <c r="N20" i="3"/>
  <c r="O20" i="3" s="1"/>
  <c r="N21" i="3"/>
  <c r="O21" i="3" s="1"/>
  <c r="N22" i="3"/>
  <c r="O22" i="3" s="1"/>
  <c r="N23" i="3"/>
  <c r="O23" i="3" s="1"/>
  <c r="N3" i="3"/>
  <c r="O3" i="3" s="1"/>
  <c r="J3" i="3"/>
  <c r="K3" i="3" s="1"/>
  <c r="J4" i="3"/>
  <c r="K4" i="3" s="1"/>
  <c r="J5" i="3"/>
  <c r="K5" i="3" s="1"/>
  <c r="J6" i="3"/>
  <c r="K6" i="3" s="1"/>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K19" i="3" s="1"/>
  <c r="J20" i="3"/>
  <c r="K20" i="3" s="1"/>
  <c r="J21" i="3"/>
  <c r="K21" i="3" s="1"/>
  <c r="J22" i="3"/>
  <c r="K22" i="3" s="1"/>
  <c r="J23" i="3"/>
  <c r="K23" i="3" s="1"/>
  <c r="K5" i="4" l="1"/>
  <c r="J46" i="4"/>
  <c r="K46" i="4" s="1"/>
  <c r="Y1" i="3"/>
  <c r="X1" i="3"/>
  <c r="Z1" i="3" s="1"/>
  <c r="AA1" i="3" s="1"/>
  <c r="Z36" i="3"/>
  <c r="AA36" i="3" s="1"/>
  <c r="Z12" i="3"/>
  <c r="AA12" i="3" s="1"/>
  <c r="Z44" i="3"/>
  <c r="AA44" i="3" s="1"/>
  <c r="Z40" i="3"/>
  <c r="AA40" i="3" s="1"/>
  <c r="Z32" i="3"/>
  <c r="AA32" i="3" s="1"/>
  <c r="Z28" i="3"/>
  <c r="AA28" i="3" s="1"/>
  <c r="Z24" i="3"/>
  <c r="AA24" i="3" s="1"/>
  <c r="Z20" i="3"/>
  <c r="AA20" i="3" s="1"/>
  <c r="Z16" i="3"/>
  <c r="AA16" i="3" s="1"/>
  <c r="Z8" i="3"/>
  <c r="AA8" i="3" s="1"/>
  <c r="Y45" i="3"/>
  <c r="Y46" i="3" s="1"/>
  <c r="Z42" i="3"/>
  <c r="AA42" i="3" s="1"/>
  <c r="Z38" i="3"/>
  <c r="AA38" i="3" s="1"/>
  <c r="Z34" i="3"/>
  <c r="AA34" i="3" s="1"/>
  <c r="Z30" i="3"/>
  <c r="AA30" i="3" s="1"/>
  <c r="Z26" i="3"/>
  <c r="AA26" i="3" s="1"/>
  <c r="Z22" i="3"/>
  <c r="AA22" i="3" s="1"/>
  <c r="Z18" i="3"/>
  <c r="AA18" i="3" s="1"/>
  <c r="Z14" i="3"/>
  <c r="AA14" i="3" s="1"/>
  <c r="Z10" i="3"/>
  <c r="AA10" i="3" s="1"/>
  <c r="Z6" i="3"/>
  <c r="AA6" i="3" s="1"/>
  <c r="Z41" i="3"/>
  <c r="AA41" i="3" s="1"/>
  <c r="Z37" i="3"/>
  <c r="AA37" i="3" s="1"/>
  <c r="Z33" i="3"/>
  <c r="AA33" i="3" s="1"/>
  <c r="Z29" i="3"/>
  <c r="AA29" i="3" s="1"/>
  <c r="Z25" i="3"/>
  <c r="AA25" i="3" s="1"/>
  <c r="Z21" i="3"/>
  <c r="AA21" i="3" s="1"/>
  <c r="Z17" i="3"/>
  <c r="AA17" i="3" s="1"/>
  <c r="Z13" i="3"/>
  <c r="AA13" i="3" s="1"/>
  <c r="Z9" i="3"/>
  <c r="AA9" i="3" s="1"/>
  <c r="Z5" i="3"/>
  <c r="AA5" i="3" s="1"/>
  <c r="N45" i="3"/>
  <c r="O45" i="3" s="1"/>
  <c r="Z4" i="3"/>
  <c r="AA4" i="3" s="1"/>
  <c r="V45" i="3"/>
  <c r="W45" i="3" s="1"/>
  <c r="R45" i="3"/>
  <c r="S45" i="3" s="1"/>
  <c r="Z43" i="3"/>
  <c r="AA43" i="3" s="1"/>
  <c r="Z39" i="3"/>
  <c r="AA39" i="3" s="1"/>
  <c r="Z35" i="3"/>
  <c r="AA35" i="3" s="1"/>
  <c r="Z31" i="3"/>
  <c r="AA31" i="3" s="1"/>
  <c r="Z27" i="3"/>
  <c r="AA27" i="3" s="1"/>
  <c r="Z23" i="3"/>
  <c r="AA23" i="3" s="1"/>
  <c r="Z19" i="3"/>
  <c r="AA19" i="3" s="1"/>
  <c r="Z15" i="3"/>
  <c r="AA15" i="3" s="1"/>
  <c r="Z11" i="3"/>
  <c r="AA11" i="3" s="1"/>
  <c r="Z7" i="3"/>
  <c r="AA7" i="3" s="1"/>
  <c r="X45" i="3"/>
  <c r="X46" i="3" s="1"/>
  <c r="J45" i="3"/>
  <c r="K45" i="3" s="1"/>
  <c r="Z3" i="3"/>
  <c r="Z46" i="3" l="1"/>
  <c r="AA46" i="3" s="1"/>
  <c r="Z45" i="3"/>
  <c r="AA45" i="3" s="1"/>
  <c r="AA3" i="3"/>
  <c r="N18" i="12" l="1"/>
  <c r="O18" i="12" s="1"/>
  <c r="N12" i="12"/>
  <c r="O12" i="12" s="1"/>
  <c r="N5" i="12" l="1"/>
  <c r="O5" i="12" l="1"/>
  <c r="N21" i="12" l="1"/>
  <c r="O21" i="12" s="1"/>
  <c r="N26" i="12"/>
  <c r="O26" i="12" s="1"/>
  <c r="N25" i="12"/>
  <c r="O25" i="12" s="1"/>
  <c r="K7" i="12" l="1"/>
  <c r="N7" i="12"/>
  <c r="O7" i="12" s="1"/>
  <c r="K16" i="12"/>
  <c r="N16" i="12"/>
  <c r="O16" i="12" s="1"/>
  <c r="K23" i="12"/>
  <c r="N23" i="12"/>
  <c r="O23" i="12" s="1"/>
  <c r="K13" i="12"/>
  <c r="N13" i="12"/>
  <c r="O13" i="12" s="1"/>
  <c r="N6" i="12"/>
  <c r="K19" i="12"/>
  <c r="N19" i="12"/>
  <c r="O19" i="12" s="1"/>
  <c r="K10" i="12"/>
  <c r="N10" i="12"/>
  <c r="O10" i="12" s="1"/>
  <c r="K11" i="12"/>
  <c r="N11" i="12"/>
  <c r="O11" i="12" s="1"/>
  <c r="K20" i="12"/>
  <c r="N20" i="12"/>
  <c r="O20" i="12" s="1"/>
  <c r="K8" i="12"/>
  <c r="N8" i="12"/>
  <c r="O8" i="12" s="1"/>
  <c r="K24" i="12"/>
  <c r="N24" i="12"/>
  <c r="O24" i="12" s="1"/>
  <c r="K17" i="12"/>
  <c r="N17" i="12"/>
  <c r="O17" i="12" s="1"/>
  <c r="K15" i="12"/>
  <c r="N15" i="12"/>
  <c r="O15" i="12" s="1"/>
  <c r="K14" i="12"/>
  <c r="N14" i="12"/>
  <c r="O14" i="12" s="1"/>
  <c r="K22" i="12"/>
  <c r="N22" i="12"/>
  <c r="O22" i="12" s="1"/>
  <c r="K9" i="12"/>
  <c r="N9" i="12"/>
  <c r="O9" i="12" s="1"/>
  <c r="K21" i="12"/>
  <c r="O6" i="12" l="1"/>
  <c r="N3" i="12"/>
  <c r="M3" i="12"/>
  <c r="M2" i="12" s="1"/>
  <c r="K6" i="12"/>
  <c r="I2" i="12"/>
  <c r="O3" i="12" l="1"/>
  <c r="N2" i="12"/>
  <c r="J2" i="12"/>
  <c r="K3" i="12"/>
</calcChain>
</file>

<file path=xl/sharedStrings.xml><?xml version="1.0" encoding="utf-8"?>
<sst xmlns="http://schemas.openxmlformats.org/spreadsheetml/2006/main" count="1590" uniqueCount="543">
  <si>
    <t>WBS ID</t>
  </si>
  <si>
    <t>WBS short description</t>
  </si>
  <si>
    <t>WBS start date</t>
  </si>
  <si>
    <t>WBS end date</t>
  </si>
  <si>
    <t>WBS IPPF status</t>
  </si>
  <si>
    <t>Legal contract number</t>
  </si>
  <si>
    <t>2024 full year GP%</t>
  </si>
  <si>
    <t>N/A</t>
  </si>
  <si>
    <t>Closed</t>
  </si>
  <si>
    <t>AM</t>
  </si>
  <si>
    <t>Active</t>
  </si>
  <si>
    <t>UKAGUGV</t>
  </si>
  <si>
    <t>L01560/NGC-200245 IST - BA for PRI#  L01560_NGC-200245_IST - BA for PRI_UKAGUGV</t>
  </si>
  <si>
    <t>L01560</t>
  </si>
  <si>
    <t>UKAGUGX</t>
  </si>
  <si>
    <t>UKAHAGI</t>
  </si>
  <si>
    <t>L01560/NGC-210145 - Shipping data and AI squad#  L01560_NGC 210145_ Shipping data and AI squad</t>
  </si>
  <si>
    <t>UKAHHDL</t>
  </si>
  <si>
    <t>L01560/NGC-210569-3/T&amp;S Australia NAI CR Q3/0063h00000JbJ7eAAF #</t>
  </si>
  <si>
    <t>UKAHMCA</t>
  </si>
  <si>
    <t>L01560 - NGC-220023-1 - T&amp;S Rubix Q4  / 0063h00000LKQ55AAH #</t>
  </si>
  <si>
    <t>UKAHMUX</t>
  </si>
  <si>
    <t>L01560 - NGC-220377-3 - T&amp;S EDF Trinity CR Q4 / 0063h00000K3PWnAAN #</t>
  </si>
  <si>
    <t>UKAHNIS</t>
  </si>
  <si>
    <t>L01560 / NGC-220425 - 0063h00000IQGHDAA5 - T&amp;S Pinnacle and Pre Pay</t>
  </si>
  <si>
    <t>UKAHNKX</t>
  </si>
  <si>
    <t>L01560 / NGC-220467 - 0063h00000HVkE7AAL - T&amp;S Brazil - Diesel</t>
  </si>
  <si>
    <t>UKAHNLF</t>
  </si>
  <si>
    <t>L01560/NGC- 220446/T&amp;S Brazil - Rio/0063h00000JEffdAAD #</t>
  </si>
  <si>
    <t>UKAHNPM</t>
  </si>
  <si>
    <t>-L01560/NGC-220459/T&amp;S DevOps Roles 2023/0063h00000K18SqAAJ #</t>
  </si>
  <si>
    <t>System Periodization</t>
  </si>
  <si>
    <t>UKAHOAR</t>
  </si>
  <si>
    <t>L01560/NGC-220512 - T&amp;S Delivery Programme Management / 0063h00000K1qgQAAR #</t>
  </si>
  <si>
    <t>UKAHOGK</t>
  </si>
  <si>
    <t>L01560 - NGC-220549 - T&amp;S EVC Spain / 0063h00000IPQYBAA5 #</t>
  </si>
  <si>
    <t>UKAHOPI</t>
  </si>
  <si>
    <t>UKAHPGD</t>
  </si>
  <si>
    <t>L01560/NGC-230147/ GM Euro Cons Unit/0063h00000K3PX2AAN #</t>
  </si>
  <si>
    <t>UKAHPGR</t>
  </si>
  <si>
    <t>L01560 / NGC-230096 - T&amp;S Cost Management #</t>
  </si>
  <si>
    <t>UKAHPTZ</t>
  </si>
  <si>
    <t>L01560 - NGC-230095-2 - GPT Japan NAI / 0063h00000LLVmMAAX #</t>
  </si>
  <si>
    <t>UKAHPWP</t>
  </si>
  <si>
    <t>L01560/NGC-230236-0063h00000LAtM0AAL-T&amp;S Enhancements 2H23</t>
  </si>
  <si>
    <t>UKAHRHQ</t>
  </si>
  <si>
    <t>L01560 - NGC-230336-3 - TF&amp;T Supply Chain Finance CR2 / 006Ka00000NTjEhIAL #</t>
  </si>
  <si>
    <t>UKAHSAY</t>
  </si>
  <si>
    <t>L01560 - NGC- 230339-3 - GPT South Africa Interim Supply Model - CR3 / 0063h00000MCyDTAA1 #</t>
  </si>
  <si>
    <t>UKAHSWZ</t>
  </si>
  <si>
    <t>L01560 - NGC-230148-1 - RPT&amp;I Cost Management Marine CR / 0063h00000MCY3rAAH #</t>
  </si>
  <si>
    <t>UKAHTAF</t>
  </si>
  <si>
    <t>L01560 - NGC-230261 - TSD RPT Brazil / 0063h00000LAuOHAA1 #</t>
  </si>
  <si>
    <t>UKAHTAJ</t>
  </si>
  <si>
    <t>L01560 - NGC-230346 - TSD Blueprint FCC / 0063h00000LJZSTAA5 #</t>
  </si>
  <si>
    <t>UKAHTAL</t>
  </si>
  <si>
    <t>L01560/NGC-230098/TSD GPTA Brazil/0063h00000K1IoUAAV #</t>
  </si>
  <si>
    <t>UKAHTAP</t>
  </si>
  <si>
    <t>L01560 - NGC-230437-2 - TF&amp;T KPI Dashboard CR2 / 006Ka00000NTjEOIA1 #</t>
  </si>
  <si>
    <t>UKAHTDZ</t>
  </si>
  <si>
    <t>L01560/NGC-230205/ TSD Dashboard Analytics/0063h00000K3PrOAAV</t>
  </si>
  <si>
    <t>UKAHUBZ</t>
  </si>
  <si>
    <t>L01560 /NGC-220023-3/L01560 - T&amp;S Rubix Data/0063h00000MBoWMAA1 #</t>
  </si>
  <si>
    <t>UKAHUCV</t>
  </si>
  <si>
    <t>L01563 -NGC-230403-2- TF&amp;T - HARP 2025 -  0063h00000MCEawAAH #</t>
  </si>
  <si>
    <t>UKAHUDM</t>
  </si>
  <si>
    <t>L01560 - NGC-230188 -1- RPT&amp;I Project STAR Phase 2/ 0063h00000MCY3JAAX #</t>
  </si>
  <si>
    <t>UKAHUKP</t>
  </si>
  <si>
    <t>L01560 - NGC-240030-1-GPT Hyperion - Power and Brazil Wholesalel / 0063h00000MClvMAAT #</t>
  </si>
  <si>
    <t>UKAHUPP</t>
  </si>
  <si>
    <t>L01560 /NGC-230187/ TF&amp;T DevOps Roles/0063h00000K3XIYAA3 #</t>
  </si>
  <si>
    <t>UKAHURV</t>
  </si>
  <si>
    <t>L01560 - NGC-240033 - 1- TFT Ghana CR (Credit) / 006Ka00000NTo9uIAD #</t>
  </si>
  <si>
    <t>UKAHVRH</t>
  </si>
  <si>
    <t>L01560 - NGC-240057-3 -ITK Silverstone - Define 1 / 006Ka00000NT1gRIAT #</t>
  </si>
  <si>
    <t>UKAHVZJ</t>
  </si>
  <si>
    <t>L01560/  NGC-240061/ TFT Recharges/006Ka00000NOsNIIA1 #</t>
  </si>
  <si>
    <t>UKAHWPI</t>
  </si>
  <si>
    <t>L01560/NGC-240077/GPT GETEC Holding Company/ 006Ka00000NT1gBIAT#</t>
  </si>
  <si>
    <t>UKAHWRU</t>
  </si>
  <si>
    <t>L01560 - TFT - TSD CSO</t>
  </si>
  <si>
    <t>Pre-contract no bill</t>
  </si>
  <si>
    <t>UKAHWZI</t>
  </si>
  <si>
    <t>L01560 - NGC-240040 - RPT&amp;I Australia Supply OM / 006Ka00000NVx1nIAD #</t>
  </si>
  <si>
    <t>UKAHWZJ</t>
  </si>
  <si>
    <t>L01560/NGC-240089/TF&amp;T - Finance Process Automation/006Ka00000NTjEmIAL #</t>
  </si>
  <si>
    <t>UKAHXAK</t>
  </si>
  <si>
    <t>L01560 - NGC-240097-Op Model Automation/006Ka00000NUqUaIAL #</t>
  </si>
  <si>
    <t>UKAHXNG</t>
  </si>
  <si>
    <t>L01560/NGC-240102/RPT&amp;I Nigeria /006Ka00000NUql7IAD#</t>
  </si>
  <si>
    <t>UKAHXOM</t>
  </si>
  <si>
    <t>UKAHYAH</t>
  </si>
  <si>
    <t>L01560 NGC-240128/ GPT LNG Transformation/006Ka00000NW6qLIAT#</t>
  </si>
  <si>
    <t>UKAHYHH</t>
  </si>
  <si>
    <t>L01560/  NGC-240127/RPT - Brazil Crude/006Ka00000NW6quIAD#</t>
  </si>
  <si>
    <t>UKAHYMV</t>
  </si>
  <si>
    <t>L01560/NGC-230102/TF&amp;T Integrated Value Select/0063h00000K3PbJAAV#</t>
  </si>
  <si>
    <t>UKAHYPJ</t>
  </si>
  <si>
    <t>L01560 - NGC-240158 - TF&amp;T - Oman NAI and Finance Process Automation / 006Ka00000NW82mIAD #</t>
  </si>
  <si>
    <t>UKAHYXI</t>
  </si>
  <si>
    <t>L01560 - NGC-240160 - RPT&amp;I RPT UX Strategy / 006Ka00000NVuzuIAD #</t>
  </si>
  <si>
    <t>UKAHZKP</t>
  </si>
  <si>
    <t>UKAHZKR</t>
  </si>
  <si>
    <t>UKAHZQI</t>
  </si>
  <si>
    <t>L01560/NGC-240161/TF&amp;T - E2E Process Management/006Ka00000NW89YIAT#</t>
  </si>
  <si>
    <t>Grand Total</t>
  </si>
  <si>
    <t>Sum of 2024-1Q revenue</t>
  </si>
  <si>
    <t>Sum of 2024-2Q revenue</t>
  </si>
  <si>
    <t>Sum of 2024-3Q revenue</t>
  </si>
  <si>
    <t>Sum of 2024-4Q revenue</t>
  </si>
  <si>
    <t>Sum of 2024 full year revenue</t>
  </si>
  <si>
    <t>Sum of 2024-1Q cost</t>
  </si>
  <si>
    <t>Sum of 2024-2Q cost</t>
  </si>
  <si>
    <t>Sum of 2024-3Q cost</t>
  </si>
  <si>
    <t>Sum of 2024-4Q cost</t>
  </si>
  <si>
    <t>Sum of 2024 full year cost</t>
  </si>
  <si>
    <t>Sum of 2024-1Q GP</t>
  </si>
  <si>
    <t xml:space="preserve"> 2024-1Q GP%</t>
  </si>
  <si>
    <t>Sum of 2024-2Q GP</t>
  </si>
  <si>
    <t xml:space="preserve"> 2024-2Q GP%</t>
  </si>
  <si>
    <t xml:space="preserve"> 2024-3Q GP%</t>
  </si>
  <si>
    <t xml:space="preserve"> 2024-4Q GP%</t>
  </si>
  <si>
    <t>Sum of 2024-4Q GP</t>
  </si>
  <si>
    <t>2024 full year GP</t>
  </si>
  <si>
    <t>With AM Cost</t>
  </si>
  <si>
    <t>Type</t>
  </si>
  <si>
    <t>Non POC</t>
  </si>
  <si>
    <t>MPOC</t>
  </si>
  <si>
    <t>Remarks</t>
  </si>
  <si>
    <t xml:space="preserve"> 2025-1Q GP%</t>
  </si>
  <si>
    <t>UKAHZRH</t>
  </si>
  <si>
    <t>Notes</t>
  </si>
  <si>
    <t>UKAHZVJ</t>
  </si>
  <si>
    <t>NA</t>
  </si>
  <si>
    <t>L01560 - NGC-240057-4 -ITK Silverstone - Define 2 / 006Ka00000NWCzsIAH #</t>
  </si>
  <si>
    <t>L01560 - GPT - Brazil Nfe / 006Ka00000NWK22IAH</t>
  </si>
  <si>
    <t>L01560/NGC-240226/L01560 - GPT SRA SAP Canada/006Ka00000NWiKcIAL#</t>
  </si>
  <si>
    <t>Q2 Revenue deals</t>
  </si>
  <si>
    <t>M-PoC</t>
  </si>
  <si>
    <t>Call Upside</t>
  </si>
  <si>
    <t>ISC Opportunity</t>
  </si>
  <si>
    <t>Opportunity Name</t>
  </si>
  <si>
    <t>Close Date</t>
  </si>
  <si>
    <t>Q2 ISC Rev Est</t>
  </si>
  <si>
    <t>Pipeline</t>
  </si>
  <si>
    <t>006Ka00000QVkVhIAL</t>
  </si>
  <si>
    <t>L01560 - TF Project Constellation</t>
  </si>
  <si>
    <t>Call</t>
  </si>
  <si>
    <t>006Ka00000QVtCzIAL</t>
  </si>
  <si>
    <t>L01560 - ST&amp;S Brazil Marine gasoil</t>
  </si>
  <si>
    <t>Start Date</t>
  </si>
  <si>
    <t>End Date</t>
  </si>
  <si>
    <t>Apr</t>
  </si>
  <si>
    <t>May</t>
  </si>
  <si>
    <t>Jun</t>
  </si>
  <si>
    <t>Jul</t>
  </si>
  <si>
    <t>Aug</t>
  </si>
  <si>
    <t>Sep</t>
  </si>
  <si>
    <t>Oct</t>
  </si>
  <si>
    <t>Nov</t>
  </si>
  <si>
    <t>Dec</t>
  </si>
  <si>
    <t>Cost Estimation in GBP</t>
  </si>
  <si>
    <t>MS/M-POC</t>
  </si>
  <si>
    <t>Plan Rev</t>
  </si>
  <si>
    <t>Plan cGP%</t>
  </si>
  <si>
    <t>Total</t>
  </si>
  <si>
    <t>Remarks 2</t>
  </si>
  <si>
    <t>Solution not done</t>
  </si>
  <si>
    <t>L01565</t>
  </si>
  <si>
    <t>UKAHHSG</t>
  </si>
  <si>
    <t>PMO</t>
  </si>
  <si>
    <t>UKAHHSH</t>
  </si>
  <si>
    <t>UKAHTTS</t>
  </si>
  <si>
    <t>L01565 - NGC-230041-3 - L01565 - GIPP Polaris 2024 H2 (Renewal)/ 0063h00000LW7TmAAL #</t>
  </si>
  <si>
    <t>UKAHTTU</t>
  </si>
  <si>
    <t>L01565//NGC-230041-5/ GIPP Polaris 2024 Q3&amp;Q4 (Top-Up)//006Ka00000NXxD3IAL #</t>
  </si>
  <si>
    <t>UKAHWNK</t>
  </si>
  <si>
    <t>L01565 - NGC-230041-5- GIPP Polaris 2024 Q3&amp;Q4 (Top-Up)/006Ka00000NXxD3IAL #</t>
  </si>
  <si>
    <t>UKAHYHY</t>
  </si>
  <si>
    <t>L01565/NGC-240114 / GIPP Pricing Analytics &amp; AI 1H '25 (Renewal)/0063h00000Lp7XyAAJ#</t>
  </si>
  <si>
    <t>UKAHYMU</t>
  </si>
  <si>
    <t>L01565/NGC-240224/GIPP Technical Roadmap &amp; TT Support/006Ka00000NZ4uSIAT</t>
  </si>
  <si>
    <t>UKAHYMZ</t>
  </si>
  <si>
    <t>L01565/240114/ GIPP Polaris H1 2025 (Renewal)/0063h00000Lp7XzAAJ#</t>
  </si>
  <si>
    <t>UKAHYUA</t>
  </si>
  <si>
    <t>L01565/NGC-240115-1/- GIPP Value Orchestration H1 25 -Negative CN(Renewal)/006Ka00000NZOBUIA5#</t>
  </si>
  <si>
    <t>UKAHYVA</t>
  </si>
  <si>
    <t>L01565/NGC-240114/GIPP Polaris H1 2025 (Renewal)/0063h00000Lp7XzAAJ#</t>
  </si>
  <si>
    <t>UKAHYVM</t>
  </si>
  <si>
    <t>UKAHYVN</t>
  </si>
  <si>
    <t>L01565 - GIPP PRISMA H1 2025 (Renewal)-006Ka00000NYnA3IAL#</t>
  </si>
  <si>
    <t>UKAHZFY</t>
  </si>
  <si>
    <t>L01565 -NGC-240108- Bioverse H1 2025 (Renewal)-0063h00000Lp7bnAAB#</t>
  </si>
  <si>
    <t>UKAHZOH</t>
  </si>
  <si>
    <t>L01565 - NGC-240107-Dataworx Central Team 2025 (Renewal)-0063h00000MkUoYAAV #</t>
  </si>
  <si>
    <t xml:space="preserve"> 2025-2Q GP%</t>
  </si>
  <si>
    <t>UKAIANF</t>
  </si>
  <si>
    <t>L01560/NGC-250012/ ST&amp;S Silverstone - ANZ/006Ka00000QVniqIAD#</t>
  </si>
  <si>
    <t>UKAIBDZ</t>
  </si>
  <si>
    <t>L01560-NGC-250014-GPTI Euro Cons Unit Migration /006Ka00000QWgUuIAL #</t>
  </si>
  <si>
    <t>UKAIBLF</t>
  </si>
  <si>
    <t>L01565 - GIPP Pricing Data (2H '25 Renewal)#</t>
  </si>
  <si>
    <t>UKAIBLG</t>
  </si>
  <si>
    <t>L01565 - GIPP PRISMA H2 2025 (Renewal)#</t>
  </si>
  <si>
    <t>IBM working on zero value extension till Nov 25 and we have more contigency buffer 288K</t>
  </si>
  <si>
    <t>Currently the project is onhold and IBM working on zero value extension till Nov 25, hence there is no hours added for forecast. Added 62.5/month cost in Jul to Oct</t>
  </si>
  <si>
    <t>May'25 FC Cycle</t>
  </si>
  <si>
    <t>IPPF T&amp;M indicator</t>
  </si>
  <si>
    <t>No</t>
  </si>
  <si>
    <t>L01560/NGC-240164-1/TF ARC Transformation - CR/006Ka00000QWOU9IAP#</t>
  </si>
  <si>
    <t>L01565/NGC-240096-4/GIPP PRISMA H1 - Mexico CN/006Ka00000NYUhgIAHL#</t>
  </si>
  <si>
    <t>Yes</t>
  </si>
  <si>
    <t>2025-Apr Rev</t>
  </si>
  <si>
    <t>2025-May Rev</t>
  </si>
  <si>
    <t>2025-Jun Rev</t>
  </si>
  <si>
    <t>2025-Q2 Rev</t>
  </si>
  <si>
    <t>Apr Submission</t>
  </si>
  <si>
    <t>May Submission</t>
  </si>
  <si>
    <t>Q2 Delta</t>
  </si>
  <si>
    <t>ISC</t>
  </si>
  <si>
    <t>Milestone</t>
  </si>
  <si>
    <t>ISC new entry for May submission, Rev calculated based on MPOC</t>
  </si>
  <si>
    <t>Not accrued due to clip level, hence forecasted more rev in May</t>
  </si>
  <si>
    <t>Q2 Rev pushed to Q3 due to not sufficient cost</t>
  </si>
  <si>
    <t>Sum of Plan revenue</t>
  </si>
  <si>
    <t>Sum of ITD revenue</t>
  </si>
  <si>
    <t>Sum of EtC revenue</t>
  </si>
  <si>
    <t>Sum of EaC revenue</t>
  </si>
  <si>
    <t>Sum of Tcv-EaC</t>
  </si>
  <si>
    <t>Sum of TCV Amount (billing currency)</t>
  </si>
  <si>
    <t>Sum of Plan-EaC</t>
  </si>
  <si>
    <t>Variance due to MSP Fee</t>
  </si>
  <si>
    <t>Variance due to MSP Fee+Expense forecasted</t>
  </si>
  <si>
    <t>Variance due to MSP Fee+799 Less loaded</t>
  </si>
  <si>
    <t>Qn</t>
  </si>
  <si>
    <t>1. Is there any Negative CN or netting due to project termination..?</t>
  </si>
  <si>
    <t>Apr was more cost, impacted more Rev in Q2</t>
  </si>
  <si>
    <t>More cost forecasted, impacted more Rev in Q2</t>
  </si>
  <si>
    <t>Release some cost buffer, increased Q2 Rev</t>
  </si>
  <si>
    <t>Not accrued due to clip level, hence forecasted more rev in May and Jun cost forecast decreased.</t>
  </si>
  <si>
    <t>Remarks (Saurav)</t>
  </si>
  <si>
    <t>Sum of 2024-3Q GP</t>
  </si>
  <si>
    <t>Neg CN</t>
  </si>
  <si>
    <t>May, Jun &amp; Jul Milestone cancelled and next revised milestone is 05th Sep</t>
  </si>
  <si>
    <t>S-Stage</t>
  </si>
  <si>
    <t>Account ID</t>
  </si>
  <si>
    <t>Name</t>
  </si>
  <si>
    <t>Contract #</t>
  </si>
  <si>
    <t>ISC Id</t>
  </si>
  <si>
    <t>M1</t>
  </si>
  <si>
    <t>M2</t>
  </si>
  <si>
    <t>M3</t>
  </si>
  <si>
    <t>QTR Revenue</t>
  </si>
  <si>
    <t>PCW Account ID</t>
  </si>
  <si>
    <t>Status</t>
  </si>
  <si>
    <t>FG Status</t>
  </si>
  <si>
    <t>PCW Cost</t>
  </si>
  <si>
    <t>Findings /Issue</t>
  </si>
  <si>
    <t>Action reqd(Shankar)</t>
  </si>
  <si>
    <t>ISC-Call</t>
  </si>
  <si>
    <t>Closing</t>
  </si>
  <si>
    <t/>
  </si>
  <si>
    <t>Design</t>
  </si>
  <si>
    <t>L01560 - TF&amp;T - Finance Process Automation - CR 1</t>
  </si>
  <si>
    <t>006gR0000009fyPQAQ</t>
  </si>
  <si>
    <t>In Progress</t>
  </si>
  <si>
    <t>SOW Created</t>
  </si>
  <si>
    <t xml:space="preserve">No cost </t>
  </si>
  <si>
    <t xml:space="preserve">Project starts from 2nd June , Milestone date is 18th June </t>
  </si>
  <si>
    <t>Not created</t>
  </si>
  <si>
    <t>Project starts from 1st June , Milestone date is 18th July</t>
  </si>
  <si>
    <t>Please move the Milestone Revenue to M1 Q3</t>
  </si>
  <si>
    <t>ISC-Upside</t>
  </si>
  <si>
    <t>Propose</t>
  </si>
  <si>
    <t>L01565 - B2B Pricing Product Manager</t>
  </si>
  <si>
    <t>006gR000000KBKHQA4</t>
  </si>
  <si>
    <t>No Manthan entry as of now</t>
  </si>
  <si>
    <t>B2B Pricing - Lost the oppt</t>
  </si>
  <si>
    <t>Rev Logic</t>
  </si>
  <si>
    <t>Lost</t>
  </si>
  <si>
    <t>Con ID</t>
  </si>
  <si>
    <t>Acc ID</t>
  </si>
  <si>
    <t>Description</t>
  </si>
  <si>
    <t>StartDate</t>
  </si>
  <si>
    <t>EndDate</t>
  </si>
  <si>
    <t>T&amp;M Flg</t>
  </si>
  <si>
    <t>GP</t>
  </si>
  <si>
    <t>GP%</t>
  </si>
  <si>
    <t>Forecast</t>
  </si>
  <si>
    <t>Actual</t>
  </si>
  <si>
    <t>Contractor Name</t>
  </si>
  <si>
    <t>Cost Jan</t>
  </si>
  <si>
    <t>Cost Feb</t>
  </si>
  <si>
    <t>Cost Mar</t>
  </si>
  <si>
    <t>Cost Apr</t>
  </si>
  <si>
    <t>Cost May</t>
  </si>
  <si>
    <t>Start date</t>
  </si>
  <si>
    <t>End date</t>
  </si>
  <si>
    <t>Cost rate/Hr</t>
  </si>
  <si>
    <t>MPOC logic will be considered, it doesn’t look like we can procure the milestone value as initially expected, since the initial cost will appears to be quite low. Given this, we can proceed with moving it to M1 Q3.</t>
  </si>
  <si>
    <t>Plan GP %</t>
  </si>
  <si>
    <t>UKAHTKW</t>
  </si>
  <si>
    <t>L01565 - NGC-230417 -2- Bioverse Neg. Change Note (Rajiv &amp; Umesh) / 0063h00000LW7OdAAL #</t>
  </si>
  <si>
    <t>UKAHWGR</t>
  </si>
  <si>
    <t>L01565 - NGC-230420-2 - TSD Cross Portfolio Support Q4 2024 (Renewal)</t>
  </si>
  <si>
    <t>UKAHWII</t>
  </si>
  <si>
    <t>L01565 - NGC-230419-3- GIPP Pricing Data 2024 H2 (US Workstream) - Renewal -006Ka00000NY0gwIAD #</t>
  </si>
  <si>
    <t>UKAHWIK</t>
  </si>
  <si>
    <t>L01565 -NGC-230416-2-  GIPP Pricing Data 2024 H2 (Europe Workstream)-Renewal/006Ka00000NY0h1IAD#</t>
  </si>
  <si>
    <t>UKAHXAL</t>
  </si>
  <si>
    <t>L01565 - NGC-240096-2 - GIPP PRISMA Nov-Dec (Expansion) / 006Ka00000NYUhMIAX #</t>
  </si>
  <si>
    <t>UKAHXKW</t>
  </si>
  <si>
    <t>L01565 - NGC-240096-1-GIPP PRISMA H2 2024 - DE CN-006Ka00000NYSQjIAP#</t>
  </si>
  <si>
    <t>UKAHXOY</t>
  </si>
  <si>
    <t>L01565/  NGC-240096/GIPP Polaris Analytics H2 2024 (PRISMA)/0063h00000LoLA6AAN #</t>
  </si>
  <si>
    <t>UKAHYAS</t>
  </si>
  <si>
    <t>NGC-240096-2L01565 - GIPP PRISMA Nov-Dec (Expansion) - 006Ka00000NYUhMIAX #</t>
  </si>
  <si>
    <t>Rejected</t>
  </si>
  <si>
    <t>2025-1Q GP</t>
  </si>
  <si>
    <t>2025-2Q GP</t>
  </si>
  <si>
    <t xml:space="preserve">L01560 + L01565 Total - </t>
  </si>
  <si>
    <t>L01560/NGC-240164-2/TF&amp;T - ARC Extension (Constellation)/0006gR0000009g4rQAA#</t>
  </si>
  <si>
    <t>Variance reason</t>
  </si>
  <si>
    <t>Sum of Plan GP%</t>
  </si>
  <si>
    <t>L01560/NGC-240161-1/ TF&amp;T - E2E Process Review (Compass)/006gR000000IvXkQAK#</t>
  </si>
  <si>
    <t>UKAIBWF</t>
  </si>
  <si>
    <t>L01560/NGC-250019/ST&amp;S Brazil Marine gasoi/006Ka00000QVtCzIAL#</t>
  </si>
  <si>
    <t>2025-3Q GP</t>
  </si>
  <si>
    <t xml:space="preserve"> 2025-3Q GP%</t>
  </si>
  <si>
    <t>2025-4Q GP</t>
  </si>
  <si>
    <t xml:space="preserve"> 2025-4Q GP%</t>
  </si>
  <si>
    <t>UKAIBWY</t>
  </si>
  <si>
    <t>L01560 - NGC-240158-1 -- TF&amp;T - Finance Process Automation - CR 1 / 006gR0000009fyPQAQ #</t>
  </si>
  <si>
    <t>L01560 - NGC-240160-1 -RPT UX Strategy H2 2025 / 006gR000000AdxnQAC #</t>
  </si>
  <si>
    <t>2025-2Q revenue</t>
  </si>
  <si>
    <t>2025-2Q cost</t>
  </si>
  <si>
    <t>2025-3Q revenue</t>
  </si>
  <si>
    <t>2025-3Q cost</t>
  </si>
  <si>
    <t>2025-1Q revenue</t>
  </si>
  <si>
    <t>2025-1Q cost</t>
  </si>
  <si>
    <t>UKAIBZS</t>
  </si>
  <si>
    <t>L01560 - ST&amp;S Trading Finance Derivatives Activity/006Ka00000QVkVhIAL#</t>
  </si>
  <si>
    <t>UKAICDT</t>
  </si>
  <si>
    <t>L01560 -NGC-250020- ST&amp;S Silverstone - Europe and IDM /006gR000000JYagQAG #</t>
  </si>
  <si>
    <t>UKAICDX</t>
  </si>
  <si>
    <t>L01560 - NGC-240030-2-GPT Hyperion - Power and Brazil Wholesale CR- 006gR000000LljtQAC #</t>
  </si>
  <si>
    <t>L01560/NGC-250029/ ST&amp;S BR Tax Reforms/006Ka00000QVtCuIAL#</t>
  </si>
  <si>
    <t>L01565/  NGC-240114-1/GIPP Polaris H2 2025 (Renewal)/006Ka00000NYaG8IAL#</t>
  </si>
  <si>
    <t>L01565/NGC-240114-1/GIPP Polaris H2  (Renewal)/006Ka00000NYaG8IAL#</t>
  </si>
  <si>
    <t>L01565 - NGC-240096-5-GIPP PRISMA H2 2025 (Renewal)-006Ka00000NZm2IIAT#</t>
  </si>
  <si>
    <t>L01565 -NGC-240108-1-Bioverse H2 2025 (Renewal)-006Ka00000NYowmIAD#</t>
  </si>
  <si>
    <t>POC</t>
  </si>
  <si>
    <t>Diff Rev</t>
  </si>
  <si>
    <t>Diff</t>
  </si>
  <si>
    <t>GP Target : 16 above</t>
  </si>
  <si>
    <t>Cost Jun</t>
  </si>
  <si>
    <t>Third Party</t>
  </si>
  <si>
    <t>Cost Jul</t>
  </si>
  <si>
    <t>Source</t>
  </si>
  <si>
    <t>Ledger</t>
  </si>
  <si>
    <t>Rev_Aug</t>
  </si>
  <si>
    <t>Cst_Aug</t>
  </si>
  <si>
    <t>L01560 -NGC-250025- ST&amp;S PRI Pre Work/006Ka00000NW82rIAD#</t>
  </si>
  <si>
    <t>UKAICNK</t>
  </si>
  <si>
    <t>L01560/NGC-230148-2/ RPT Cost Management Marine CR/006Ka00000QWBagIAH#</t>
  </si>
  <si>
    <t>STS Target</t>
  </si>
  <si>
    <t>Zero value extension till 30 Nov 25</t>
  </si>
  <si>
    <t>UKAICRW</t>
  </si>
  <si>
    <t>UKAICTX</t>
  </si>
  <si>
    <t>Project is paused, no plan yet.</t>
  </si>
  <si>
    <t>Project was onhold and zero value extension done till Dec  25, Project re-started from Jul with less cost hence Rev (May, Jun, Jul) pushed to Sep till Dec.</t>
  </si>
  <si>
    <t>UKAICTW</t>
  </si>
  <si>
    <t>L01565_NGC-240112-2_L01565 - GIPP Pricing Data (H2 2025 - CN)_006gR000001JZRKQA4</t>
  </si>
  <si>
    <t>UKAICYJ</t>
  </si>
  <si>
    <t>UKAICYP</t>
  </si>
  <si>
    <t>L01565/NGC-240224-2 /006gR0000019h3dQAA/- GIPP Technical Roadmap &amp; TT Support (July '25 CN)#</t>
  </si>
  <si>
    <t>2025-4Q revenue</t>
  </si>
  <si>
    <t>2025-4Q cost</t>
  </si>
  <si>
    <t>UKAICMC</t>
  </si>
  <si>
    <t>UKAICZB</t>
  </si>
  <si>
    <t>UKAIDAN</t>
  </si>
  <si>
    <t>L01560 -  -NGC-240164-3TF&amp;T - ARC Extension (Constellation &amp; Scout)/006gR000001T7NKQA0#</t>
  </si>
  <si>
    <t>UKAIDEU</t>
  </si>
  <si>
    <t>L10560 - NGC-250049-ARC Finance Process Automation-006gR000001Yus2QAC #</t>
  </si>
  <si>
    <t>UKAIDPO</t>
  </si>
  <si>
    <t>L01560-NGC-250033 - 1-ST&amp;S Golden Phoenix (CN1 - Data Scientists)-006gR000001VfUZQA0 #</t>
  </si>
  <si>
    <t>L01560 - NGC-250044-1-Silver Stone - ST&amp;S Risk Insights /006gR000001odtfQAA #</t>
  </si>
  <si>
    <t>L01560 - NGC-250055-/ST&amp;S GPTI Endur Settlements/006gR0000028XyYQAU#</t>
  </si>
  <si>
    <t>Rev Target : 13.50 M</t>
  </si>
  <si>
    <t>L01565/ NGC-240112-4 / GIPP Pricing Data (Q4 2025 - Negative CN)) /006gR000002I9q5QAC#</t>
  </si>
  <si>
    <t>L01565/NGC-240096-7/  GIPP PRISMA (Q4 2025 - Negative CN)/006gR000002GOQEQA4#</t>
  </si>
  <si>
    <t>L01565 - NGC-250053-  GIPP TravelCenters of America 2025 /006gR000001ao4CQAQ #</t>
  </si>
  <si>
    <t>UKAIEEW</t>
  </si>
  <si>
    <t>L01565-NGC-250054-Colombia Company-006Ka00000QVtCaIAL #</t>
  </si>
  <si>
    <t>Zero value extension  done till 17th Jul 2026</t>
  </si>
  <si>
    <t>UKAIDXY</t>
  </si>
  <si>
    <t>L01560/NGC-250070/ST&amp;S Quantum Pre Work CR1/006gR000002IK0jQAG#</t>
  </si>
  <si>
    <t>UKAIEIJ</t>
  </si>
  <si>
    <t>L01560 -NGC-250072- ITK Silverstone - Europe and IDM - CR2 / 006gR000001r5nOQAQ</t>
  </si>
  <si>
    <t>2026-1Q revenue</t>
  </si>
  <si>
    <t>2026-1Q cost</t>
  </si>
  <si>
    <t>2026-1Q GP</t>
  </si>
  <si>
    <t xml:space="preserve"> 2026-1Q GP%</t>
  </si>
  <si>
    <t>UKAIEMZ</t>
  </si>
  <si>
    <t>L01565 - NGC-250076 Bioverse Q1 2026 /06Ka00000NZWv8IAH #</t>
  </si>
  <si>
    <t xml:space="preserve">STS Total - </t>
  </si>
  <si>
    <t>WBS short ID</t>
  </si>
  <si>
    <t>006GR000002Z0D</t>
  </si>
  <si>
    <t>030-PZP</t>
  </si>
  <si>
    <t>C.26JVZ.001</t>
  </si>
  <si>
    <t>ST&amp;S Cross Portfolio 2026</t>
  </si>
  <si>
    <t>031-9NX</t>
  </si>
  <si>
    <t>C.26JVZ.003</t>
  </si>
  <si>
    <t>ST&amp;S  TF&amp;T - WAF Ancillaries Extension</t>
  </si>
  <si>
    <t>006GR0000034VRW</t>
  </si>
  <si>
    <t>030-G89</t>
  </si>
  <si>
    <t>C.26JRZ.001</t>
  </si>
  <si>
    <t>Data &amp; Analytics Platform Enablement 202</t>
  </si>
  <si>
    <t>006KA00000PFHJ4</t>
  </si>
  <si>
    <t>030-W6P</t>
  </si>
  <si>
    <t>C.26K1J.001</t>
  </si>
  <si>
    <t>ITK Silverstone - Execute 2026-2028 (IND</t>
  </si>
  <si>
    <t>030-X2T</t>
  </si>
  <si>
    <t>C.26K1J.002</t>
  </si>
  <si>
    <t>030-8WX</t>
  </si>
  <si>
    <t>C.26GBL.039</t>
  </si>
  <si>
    <t>L01560 - TF - Risk Dashboard - Ph2</t>
  </si>
  <si>
    <t>030-W00</t>
  </si>
  <si>
    <t>C.26GBL.041</t>
  </si>
  <si>
    <t>TF - Risk Dashboard - Ph3</t>
  </si>
  <si>
    <t>C.26GBL.001</t>
  </si>
  <si>
    <t>C.26GBL.003</t>
  </si>
  <si>
    <t>L01560 - NGC-230148-1 - RPT&amp;I Cost Manag</t>
  </si>
  <si>
    <t>Technically completed</t>
  </si>
  <si>
    <t>C.26GBL.004</t>
  </si>
  <si>
    <t>ST&amp;S  TF - Risk Dashboard - Ph1</t>
  </si>
  <si>
    <t>C.26GBL.005</t>
  </si>
  <si>
    <t>L01560 - NGC-240030-2-GPT Hyperion - Pow</t>
  </si>
  <si>
    <t>C.26GBL.006</t>
  </si>
  <si>
    <t>L01560 - NGC-240057-4 -ITK Silverstone -</t>
  </si>
  <si>
    <t>C.26GBL.007</t>
  </si>
  <si>
    <t>L01560/NGC-240102/RPT&amp;I Nigeria /006Ka00</t>
  </si>
  <si>
    <t>C.26GBL.010</t>
  </si>
  <si>
    <t>L01560 - NGC-240158-1 -- TF&amp;T - Finance</t>
  </si>
  <si>
    <t>C.26GBL.011</t>
  </si>
  <si>
    <t>L01560 - NGC-240160-1 -RPT UX Strategy H</t>
  </si>
  <si>
    <t>C.26GBL.012</t>
  </si>
  <si>
    <t>L01560 - GPT - Brazil Nfe / 006Ka00000NW</t>
  </si>
  <si>
    <t>C.26GBL.013</t>
  </si>
  <si>
    <t>L01560 - -NGC-240164-3TF&amp;T - ARC Exten</t>
  </si>
  <si>
    <t>C.26GBL.016</t>
  </si>
  <si>
    <t>L01560/NGC-250012/ ST&amp;S Silverstone - AN</t>
  </si>
  <si>
    <t>C.26GBL.018</t>
  </si>
  <si>
    <t>L01560/NGC-250019/ST&amp;S Brazil Marine gas</t>
  </si>
  <si>
    <t>C.26GBL.019</t>
  </si>
  <si>
    <t>L01560/NGC-250029/ ST&amp;S BR Tax Reforms/0</t>
  </si>
  <si>
    <t>C.26GBL.020</t>
  </si>
  <si>
    <t>L01560 - ST&amp;S Trading Finance Derivative</t>
  </si>
  <si>
    <t>C.26GBL.021</t>
  </si>
  <si>
    <t>L01560 -NGC-250020- ST&amp;S Silverstone - E</t>
  </si>
  <si>
    <t>C.26GBL.022</t>
  </si>
  <si>
    <t>L01560 -NGC-250025- ST&amp;S PRI Pre Work/00</t>
  </si>
  <si>
    <t>C.26GBL.023</t>
  </si>
  <si>
    <t>L01560-NGC-230148-3-RPT&amp;I Cost Managemen</t>
  </si>
  <si>
    <t>C.26GBL.024</t>
  </si>
  <si>
    <t>L01560-NGC-250033 - 2-ST&amp;S Golden Phoeni</t>
  </si>
  <si>
    <t>C.26GBL.025</t>
  </si>
  <si>
    <t>L01560 - NGC-250044-1-Silver Stone - ST&amp;</t>
  </si>
  <si>
    <t>C.26GBL.026</t>
  </si>
  <si>
    <t>L10560 - NGC-250049-ARC Finance Process</t>
  </si>
  <si>
    <t>C.26GBL.027</t>
  </si>
  <si>
    <t>L01560 - NGC-250055-/ST&amp;S GPTI Endur Set</t>
  </si>
  <si>
    <t>C.26GBL.029</t>
  </si>
  <si>
    <t>L01560/NGC-250070/ST&amp;S Quantum Pre Work</t>
  </si>
  <si>
    <t>UKAIEFJ</t>
  </si>
  <si>
    <t>C.26GBL.030</t>
  </si>
  <si>
    <t>System Enhancements</t>
  </si>
  <si>
    <t>UKAIEFQ</t>
  </si>
  <si>
    <t>C.26GBL.031</t>
  </si>
  <si>
    <t>L01560 - NGC-250071-SAP Interface Automa</t>
  </si>
  <si>
    <t>C.26GBL.032</t>
  </si>
  <si>
    <t>L01560 -NGC-250072- ITK Silverstone - Eu</t>
  </si>
  <si>
    <t>UKAIELQ</t>
  </si>
  <si>
    <t>C.26GBL.033</t>
  </si>
  <si>
    <t>L01560 -NGC-250088- ST&amp;S - Low Carbon Mi</t>
  </si>
  <si>
    <t>UKAIEWP</t>
  </si>
  <si>
    <t>C.26GBL.034</t>
  </si>
  <si>
    <t>L01560 - GPTI Endur Settlements#</t>
  </si>
  <si>
    <t>UKAIEWS</t>
  </si>
  <si>
    <t>C.26GBL.035</t>
  </si>
  <si>
    <t>L01560 - ST&amp;S Golden Phoenix - Core Team</t>
  </si>
  <si>
    <t>UKAIEXM</t>
  </si>
  <si>
    <t>C.26GBL.038</t>
  </si>
  <si>
    <t>C.26HWM.001</t>
  </si>
  <si>
    <t>C.26HWM.002</t>
  </si>
  <si>
    <t>C.26HWM.003</t>
  </si>
  <si>
    <t>L01565/ NGC-240112-4 / GIPP Pricing Data</t>
  </si>
  <si>
    <t>C.26HWM.004</t>
  </si>
  <si>
    <t>L01565/NGC-240224/GIPP Technical Roadmap</t>
  </si>
  <si>
    <t>C.26HWM.005</t>
  </si>
  <si>
    <t>L01565 - NGC-240114-2-GIPP Polaris 2026</t>
  </si>
  <si>
    <t>C.26HWM.007</t>
  </si>
  <si>
    <t>C.26HWM.008</t>
  </si>
  <si>
    <t>L01565/NGC-240096-7/ GIPP PRISMA (Q4 20</t>
  </si>
  <si>
    <t>C.26HWM.009</t>
  </si>
  <si>
    <t>L01565 - NGC-240096-5-GIPP PRISMA H2 202</t>
  </si>
  <si>
    <t>C.26HWM.010</t>
  </si>
  <si>
    <t>L01565 -NGC-240108-1-Bioverse H2 2025 (R</t>
  </si>
  <si>
    <t>C.26HWM.013</t>
  </si>
  <si>
    <t>L01565/NGC-240224-2 /006gR0000019h3dQAA/</t>
  </si>
  <si>
    <t>C.26HWM.014</t>
  </si>
  <si>
    <t>L01565-NGC-250054-Colombia Company-006Ka</t>
  </si>
  <si>
    <t>C.26HWM.015</t>
  </si>
  <si>
    <t>L01565 - NGC-250076 Bioverse Q1 2026 /06</t>
  </si>
  <si>
    <t>UKAIEQC</t>
  </si>
  <si>
    <t>C.26HWM.016</t>
  </si>
  <si>
    <t>L01565 /NGC-250078/GIPP Pricing Data &amp; A</t>
  </si>
  <si>
    <t>UKAIEWR</t>
  </si>
  <si>
    <t>C.26HWM.017</t>
  </si>
  <si>
    <t>2026-2Qrevenue</t>
  </si>
  <si>
    <t>2026-2Qcost</t>
  </si>
  <si>
    <t>2026-2QGP</t>
  </si>
  <si>
    <t xml:space="preserve"> 2026-2QGP%</t>
  </si>
  <si>
    <t>STS</t>
  </si>
  <si>
    <t>With AM</t>
  </si>
  <si>
    <t>Without AM</t>
  </si>
  <si>
    <t>Ricardo Luján</t>
  </si>
  <si>
    <t>Carlos Belver</t>
  </si>
  <si>
    <t>UKAIBZS/C.26GBL.020</t>
  </si>
  <si>
    <t>Bluetab</t>
  </si>
  <si>
    <t>David Lago</t>
  </si>
  <si>
    <t>UKAICDT/C.26GBL.021</t>
  </si>
  <si>
    <t>Cost Dec</t>
  </si>
  <si>
    <t>Jose Luis Pamurega</t>
  </si>
  <si>
    <t>Project</t>
  </si>
  <si>
    <t>Derivatives</t>
  </si>
  <si>
    <t>Silverstone</t>
  </si>
  <si>
    <t>Golden Phoenix</t>
  </si>
  <si>
    <t>Daniel F Lopez</t>
  </si>
  <si>
    <t>Big Silvestone</t>
  </si>
  <si>
    <t>Serhat</t>
  </si>
  <si>
    <t>Aligne</t>
  </si>
  <si>
    <t>Endur Settlement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</si>
</sst>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d\-mmm\-yyyy"/>
    <numFmt numFmtId="166" formatCode="_-[$£-809]* #,##0.00_-;\-[$£-809]* #,##0.00_-;_-[$£-809]* &quot;-&quot;??_-;_-@_-"/>
    <numFmt numFmtId="167" formatCode="0.0%"/>
    <numFmt numFmtId="168" formatCode="_-[$$-409]* #,##0_ ;_-[$$-409]* \-#,##0\ ;_-[$$-409]* &quot;-&quot;??_ ;_-@_ "/>
    <numFmt numFmtId="169" formatCode="_-[$$-409]* #,##0.00_ ;_-[$$-409]* \-#,##0.00\ ;_-[$$-409]* &quot;-&quot;??_ ;_-@_ "/>
    <numFmt numFmtId="170" formatCode="_-[$£-809]* #,##0_-;\-[$£-809]* #,##0_-;_-[$£-809]* &quot;-&quot;??_-;_-@_-"/>
    <numFmt numFmtId="171" formatCode="[$£-809]#,##0;[Red]\-[$£-809]#,##0"/>
    <numFmt numFmtId="172" formatCode="_([$$-409]* #,##0.00_);_([$$-409]* \(#,##0.00\);_([$$-409]* &quot;-&quot;??_);_(@_)"/>
  </numFmts>
  <fonts count="26" x14ac:knownFonts="1">
    <font>
      <sz val="10"/>
      <color theme="1"/>
      <name val="Tahoma"/>
      <family val="2"/>
    </font>
    <font>
      <sz val="12"/>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sz val="9"/>
      <color theme="1"/>
      <name val="Calibri"/>
      <family val="2"/>
    </font>
    <font>
      <b/>
      <sz val="9"/>
      <color theme="1"/>
      <name val="Calibri"/>
      <family val="2"/>
    </font>
    <font>
      <sz val="8"/>
      <color theme="1"/>
      <name val="Tahoma"/>
      <family val="2"/>
    </font>
    <font>
      <b/>
      <sz val="10"/>
      <color theme="1"/>
      <name val="Calibri"/>
      <family val="2"/>
    </font>
    <font>
      <sz val="8"/>
      <name val="Tahoma"/>
      <family val="2"/>
    </font>
    <font>
      <sz val="9"/>
      <color theme="0" tint="-4.9989318521683403E-2"/>
      <name val="Calibri"/>
      <family val="2"/>
      <scheme val="minor"/>
    </font>
    <font>
      <sz val="10"/>
      <color theme="1"/>
      <name val="Tahoma"/>
      <family val="2"/>
    </font>
    <font>
      <b/>
      <sz val="10"/>
      <color rgb="FF0000FF"/>
      <name val="Calibri"/>
      <family val="2"/>
      <scheme val="minor"/>
    </font>
    <font>
      <b/>
      <sz val="9"/>
      <color theme="0"/>
      <name val="Calibri"/>
      <family val="2"/>
      <scheme val="minor"/>
    </font>
    <font>
      <b/>
      <sz val="9"/>
      <name val="Calibri"/>
      <family val="2"/>
      <scheme val="minor"/>
    </font>
    <font>
      <sz val="9"/>
      <name val="Calibri"/>
      <family val="2"/>
      <scheme val="minor"/>
    </font>
    <font>
      <u/>
      <sz val="9"/>
      <color rgb="FF0000FF"/>
      <name val="Calibri"/>
      <family val="2"/>
      <scheme val="minor"/>
    </font>
    <font>
      <b/>
      <sz val="8"/>
      <color theme="1"/>
      <name val="Calibri"/>
      <family val="2"/>
    </font>
    <font>
      <sz val="9"/>
      <color rgb="FFFF0000"/>
      <name val="Calibri"/>
      <family val="2"/>
      <scheme val="minor"/>
    </font>
    <font>
      <sz val="11"/>
      <color theme="1"/>
      <name val="Calibri"/>
      <family val="2"/>
    </font>
    <font>
      <b/>
      <sz val="11"/>
      <color theme="1"/>
      <name val="Calibri"/>
      <family val="2"/>
    </font>
    <font>
      <sz val="11"/>
      <color theme="1"/>
      <name val="Tahoma"/>
      <family val="2"/>
    </font>
    <font>
      <b/>
      <sz val="11"/>
      <color theme="1"/>
      <name val="Calibri"/>
      <family val="2"/>
      <scheme val="minor"/>
    </font>
    <font>
      <b/>
      <sz val="12"/>
      <color theme="1"/>
      <name val="Calibri"/>
      <family val="2"/>
      <scheme val="minor"/>
    </font>
  </fonts>
  <fills count="29">
    <fill>
      <patternFill patternType="none"/>
    </fill>
    <fill>
      <patternFill patternType="gray125"/>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8" tint="0.59999389629810485"/>
        <bgColor theme="4" tint="0.79998168889431442"/>
      </patternFill>
    </fill>
    <fill>
      <patternFill patternType="solid">
        <fgColor theme="8" tint="0.59999389629810485"/>
        <bgColor indexed="64"/>
      </patternFill>
    </fill>
    <fill>
      <patternFill patternType="solid">
        <fgColor theme="6" tint="0.79998168889431442"/>
        <bgColor theme="4" tint="0.79998168889431442"/>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rgb="FF92D050"/>
        <bgColor theme="4" tint="0.79998168889431442"/>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bgColor theme="4" tint="0.79998168889431442"/>
      </patternFill>
    </fill>
    <fill>
      <patternFill patternType="solid">
        <fgColor rgb="FFFFC000"/>
        <bgColor indexed="64"/>
      </patternFill>
    </fill>
    <fill>
      <patternFill patternType="solid">
        <fgColor rgb="FFFFFF00"/>
        <bgColor theme="4" tint="0.79998168889431442"/>
      </patternFill>
    </fill>
    <fill>
      <patternFill patternType="solid">
        <fgColor theme="4"/>
        <bgColor theme="4"/>
      </patternFill>
    </fill>
    <fill>
      <patternFill patternType="solid">
        <fgColor theme="7" tint="0.39997558519241921"/>
        <bgColor indexed="64"/>
      </patternFill>
    </fill>
    <fill>
      <patternFill patternType="solid">
        <fgColor theme="7" tint="0.39997558519241921"/>
        <bgColor theme="4"/>
      </patternFill>
    </fill>
    <fill>
      <patternFill patternType="solid">
        <fgColor theme="0" tint="-0.34998626667073579"/>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9" tint="0.79998168889431442"/>
        <bgColor theme="4" tint="0.79998168889431442"/>
      </patternFill>
    </fill>
    <fill>
      <patternFill patternType="solid">
        <fgColor rgb="FF00B050"/>
        <bgColor indexed="64"/>
      </patternFill>
    </fill>
    <fill>
      <patternFill patternType="solid">
        <fgColor theme="8" tint="0.79998168889431442"/>
        <bgColor theme="4" tint="0.7999816888943144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s>
  <cellStyleXfs count="4">
    <xf numFmtId="0" fontId="0" fillId="0" borderId="0"/>
    <xf numFmtId="164" fontId="13" fillId="0" borderId="0" applyFont="0" applyFill="0" applyBorder="0" applyAlignment="0" applyProtection="0"/>
    <xf numFmtId="0" fontId="2" fillId="0" borderId="0"/>
    <xf numFmtId="9" fontId="13" fillId="0" borderId="0" applyFont="0" applyFill="0" applyBorder="0" applyAlignment="0" applyProtection="0"/>
  </cellStyleXfs>
  <cellXfs count="273">
    <xf numFmtId="0" fontId="0" fillId="0" borderId="0" xfId="0"/>
    <xf numFmtId="0" fontId="3" fillId="0" borderId="0" xfId="0" applyFont="1"/>
    <xf numFmtId="0" fontId="4" fillId="0" borderId="0" xfId="0" applyFont="1"/>
    <xf numFmtId="0" fontId="5" fillId="0" borderId="0" xfId="0" applyFont="1"/>
    <xf numFmtId="0" fontId="0" fillId="0" borderId="0" xfId="0" applyAlignment="1">
      <alignment wrapText="1"/>
    </xf>
    <xf numFmtId="10" fontId="6" fillId="3" borderId="1" xfId="0" applyNumberFormat="1" applyFont="1" applyFill="1" applyBorder="1" applyAlignment="1">
      <alignment horizontal="right"/>
    </xf>
    <xf numFmtId="166" fontId="5" fillId="0" borderId="0" xfId="0" applyNumberFormat="1" applyFont="1"/>
    <xf numFmtId="0" fontId="5" fillId="2" borderId="1" xfId="0" applyFont="1" applyFill="1" applyBorder="1" applyAlignment="1">
      <alignment wrapText="1"/>
    </xf>
    <xf numFmtId="0" fontId="6" fillId="0" borderId="1" xfId="0" applyFont="1" applyBorder="1"/>
    <xf numFmtId="165" fontId="6" fillId="0" borderId="1" xfId="0" applyNumberFormat="1" applyFont="1" applyBorder="1"/>
    <xf numFmtId="0" fontId="5" fillId="5" borderId="1" xfId="0" applyFont="1" applyFill="1" applyBorder="1" applyAlignment="1">
      <alignment wrapText="1"/>
    </xf>
    <xf numFmtId="10" fontId="6" fillId="6" borderId="1" xfId="0" applyNumberFormat="1" applyFont="1" applyFill="1" applyBorder="1" applyAlignment="1">
      <alignment horizontal="right"/>
    </xf>
    <xf numFmtId="166" fontId="5" fillId="6" borderId="1" xfId="0" applyNumberFormat="1" applyFont="1" applyFill="1" applyBorder="1"/>
    <xf numFmtId="0" fontId="5" fillId="7" borderId="1" xfId="0" applyFont="1" applyFill="1" applyBorder="1" applyAlignment="1">
      <alignment wrapText="1"/>
    </xf>
    <xf numFmtId="10" fontId="6" fillId="8" borderId="1" xfId="0" applyNumberFormat="1" applyFont="1" applyFill="1" applyBorder="1" applyAlignment="1">
      <alignment horizontal="right"/>
    </xf>
    <xf numFmtId="166" fontId="5" fillId="8" borderId="1" xfId="0" applyNumberFormat="1" applyFont="1" applyFill="1" applyBorder="1"/>
    <xf numFmtId="0" fontId="5" fillId="9" borderId="1" xfId="0" applyFont="1" applyFill="1" applyBorder="1" applyAlignment="1">
      <alignment wrapText="1"/>
    </xf>
    <xf numFmtId="166" fontId="5" fillId="3" borderId="1" xfId="0" applyNumberFormat="1" applyFont="1" applyFill="1" applyBorder="1"/>
    <xf numFmtId="0" fontId="5" fillId="10" borderId="1" xfId="0" applyFont="1" applyFill="1" applyBorder="1" applyAlignment="1">
      <alignment wrapText="1"/>
    </xf>
    <xf numFmtId="10" fontId="6" fillId="11" borderId="1" xfId="0" applyNumberFormat="1" applyFont="1" applyFill="1" applyBorder="1" applyAlignment="1">
      <alignment horizontal="right"/>
    </xf>
    <xf numFmtId="166" fontId="5" fillId="11" borderId="1" xfId="0" applyNumberFormat="1" applyFont="1" applyFill="1" applyBorder="1"/>
    <xf numFmtId="0" fontId="5" fillId="12" borderId="1" xfId="0" applyFont="1" applyFill="1" applyBorder="1" applyAlignment="1">
      <alignment wrapText="1"/>
    </xf>
    <xf numFmtId="166" fontId="5" fillId="13" borderId="1" xfId="0" applyNumberFormat="1" applyFont="1" applyFill="1" applyBorder="1"/>
    <xf numFmtId="10" fontId="5" fillId="13" borderId="1" xfId="0" applyNumberFormat="1" applyFont="1" applyFill="1" applyBorder="1" applyAlignment="1">
      <alignment horizontal="right"/>
    </xf>
    <xf numFmtId="10" fontId="5" fillId="6" borderId="1" xfId="0" applyNumberFormat="1" applyFont="1" applyFill="1" applyBorder="1" applyAlignment="1">
      <alignment horizontal="right"/>
    </xf>
    <xf numFmtId="10" fontId="5" fillId="8" borderId="1" xfId="0" applyNumberFormat="1" applyFont="1" applyFill="1" applyBorder="1" applyAlignment="1">
      <alignment horizontal="right"/>
    </xf>
    <xf numFmtId="10" fontId="5" fillId="3" borderId="1" xfId="0" applyNumberFormat="1" applyFont="1" applyFill="1" applyBorder="1" applyAlignment="1">
      <alignment horizontal="right"/>
    </xf>
    <xf numFmtId="10" fontId="5" fillId="11" borderId="1" xfId="0" applyNumberFormat="1" applyFont="1" applyFill="1" applyBorder="1" applyAlignment="1">
      <alignment horizontal="right"/>
    </xf>
    <xf numFmtId="166" fontId="6" fillId="6" borderId="1" xfId="0" applyNumberFormat="1" applyFont="1" applyFill="1" applyBorder="1"/>
    <xf numFmtId="166" fontId="6" fillId="8" borderId="1" xfId="0" applyNumberFormat="1" applyFont="1" applyFill="1" applyBorder="1"/>
    <xf numFmtId="166" fontId="6" fillId="3" borderId="1" xfId="0" applyNumberFormat="1" applyFont="1" applyFill="1" applyBorder="1"/>
    <xf numFmtId="166" fontId="6" fillId="11" borderId="1" xfId="0" applyNumberFormat="1" applyFont="1" applyFill="1" applyBorder="1"/>
    <xf numFmtId="0" fontId="7" fillId="0" borderId="1" xfId="0" applyFont="1" applyBorder="1"/>
    <xf numFmtId="165" fontId="7" fillId="0" borderId="1" xfId="0" applyNumberFormat="1" applyFont="1" applyBorder="1"/>
    <xf numFmtId="10" fontId="0" fillId="0" borderId="0" xfId="0" applyNumberFormat="1"/>
    <xf numFmtId="166" fontId="5" fillId="0" borderId="1" xfId="0" applyNumberFormat="1" applyFont="1" applyBorder="1"/>
    <xf numFmtId="10" fontId="5" fillId="0" borderId="1" xfId="0" applyNumberFormat="1" applyFont="1" applyBorder="1" applyAlignment="1">
      <alignment horizontal="right"/>
    </xf>
    <xf numFmtId="0" fontId="7" fillId="0" borderId="0" xfId="0" applyFont="1"/>
    <xf numFmtId="14" fontId="7" fillId="0" borderId="0" xfId="0" applyNumberFormat="1" applyFont="1"/>
    <xf numFmtId="0" fontId="8" fillId="0" borderId="0" xfId="0" applyFont="1"/>
    <xf numFmtId="166" fontId="9" fillId="0" borderId="0" xfId="0" applyNumberFormat="1" applyFont="1"/>
    <xf numFmtId="0" fontId="7" fillId="0" borderId="0" xfId="0" applyFont="1" applyAlignment="1">
      <alignment horizontal="left"/>
    </xf>
    <xf numFmtId="0" fontId="8" fillId="2" borderId="1" xfId="0" applyFont="1" applyFill="1" applyBorder="1" applyAlignment="1">
      <alignment wrapText="1"/>
    </xf>
    <xf numFmtId="0" fontId="8" fillId="12" borderId="1" xfId="0" applyFont="1" applyFill="1" applyBorder="1" applyAlignment="1">
      <alignment wrapText="1"/>
    </xf>
    <xf numFmtId="0" fontId="8" fillId="5" borderId="1" xfId="0" applyFont="1" applyFill="1" applyBorder="1" applyAlignment="1">
      <alignment horizontal="left" wrapText="1"/>
    </xf>
    <xf numFmtId="166" fontId="7" fillId="13" borderId="1" xfId="0" applyNumberFormat="1" applyFont="1" applyFill="1" applyBorder="1"/>
    <xf numFmtId="10" fontId="7" fillId="13" borderId="1" xfId="0" applyNumberFormat="1" applyFont="1" applyFill="1" applyBorder="1" applyAlignment="1">
      <alignment horizontal="right"/>
    </xf>
    <xf numFmtId="0" fontId="7" fillId="0" borderId="1" xfId="0" applyFont="1" applyBorder="1" applyAlignment="1">
      <alignment horizontal="left"/>
    </xf>
    <xf numFmtId="166" fontId="8" fillId="13" borderId="1" xfId="0" applyNumberFormat="1" applyFont="1" applyFill="1" applyBorder="1"/>
    <xf numFmtId="10" fontId="8" fillId="13" borderId="1" xfId="0" applyNumberFormat="1" applyFont="1" applyFill="1" applyBorder="1" applyAlignment="1">
      <alignment horizontal="right"/>
    </xf>
    <xf numFmtId="4" fontId="7" fillId="0" borderId="0" xfId="0" applyNumberFormat="1" applyFont="1"/>
    <xf numFmtId="167" fontId="7" fillId="0" borderId="0" xfId="0" applyNumberFormat="1" applyFont="1"/>
    <xf numFmtId="10" fontId="10" fillId="14" borderId="1" xfId="0" applyNumberFormat="1" applyFont="1" applyFill="1" applyBorder="1" applyAlignment="1">
      <alignment horizontal="right"/>
    </xf>
    <xf numFmtId="0" fontId="6" fillId="0" borderId="0" xfId="0" applyFont="1" applyAlignment="1">
      <alignment vertical="center"/>
    </xf>
    <xf numFmtId="0" fontId="5" fillId="0" borderId="2" xfId="0" applyFont="1" applyBorder="1" applyAlignment="1">
      <alignment vertical="center"/>
    </xf>
    <xf numFmtId="0" fontId="12" fillId="0" borderId="0" xfId="0" applyFont="1" applyAlignment="1">
      <alignment vertical="center"/>
    </xf>
    <xf numFmtId="168" fontId="5" fillId="0" borderId="0" xfId="0" applyNumberFormat="1" applyFont="1" applyAlignment="1">
      <alignment vertical="center"/>
    </xf>
    <xf numFmtId="0" fontId="6" fillId="0" borderId="0" xfId="0" applyFont="1"/>
    <xf numFmtId="0" fontId="5" fillId="0" borderId="0" xfId="0" applyFont="1" applyAlignment="1">
      <alignment horizontal="center"/>
    </xf>
    <xf numFmtId="0" fontId="5" fillId="15" borderId="1" xfId="0" applyFont="1" applyFill="1" applyBorder="1" applyAlignment="1">
      <alignment vertical="center"/>
    </xf>
    <xf numFmtId="15" fontId="5" fillId="15" borderId="1" xfId="0" applyNumberFormat="1" applyFont="1" applyFill="1" applyBorder="1" applyAlignment="1">
      <alignment vertical="center"/>
    </xf>
    <xf numFmtId="168" fontId="5" fillId="15" borderId="1" xfId="0" applyNumberFormat="1" applyFont="1" applyFill="1" applyBorder="1" applyAlignment="1">
      <alignment vertical="center"/>
    </xf>
    <xf numFmtId="0" fontId="5" fillId="15" borderId="1" xfId="0" applyFont="1" applyFill="1" applyBorder="1"/>
    <xf numFmtId="0" fontId="6" fillId="0" borderId="1" xfId="0" applyFont="1" applyBorder="1" applyAlignment="1">
      <alignment vertical="center"/>
    </xf>
    <xf numFmtId="15" fontId="6" fillId="0" borderId="1" xfId="0" applyNumberFormat="1" applyFont="1" applyBorder="1" applyAlignment="1">
      <alignment vertical="center"/>
    </xf>
    <xf numFmtId="168" fontId="6" fillId="0" borderId="1" xfId="0" applyNumberFormat="1" applyFont="1" applyBorder="1" applyAlignment="1">
      <alignment vertical="center"/>
    </xf>
    <xf numFmtId="15" fontId="6" fillId="0" borderId="1" xfId="0" applyNumberFormat="1" applyFont="1" applyBorder="1"/>
    <xf numFmtId="10" fontId="6" fillId="0" borderId="1" xfId="0" applyNumberFormat="1" applyFont="1" applyBorder="1"/>
    <xf numFmtId="166" fontId="6" fillId="0" borderId="1" xfId="0" applyNumberFormat="1" applyFont="1" applyBorder="1"/>
    <xf numFmtId="166" fontId="6" fillId="0" borderId="0" xfId="0" applyNumberFormat="1" applyFont="1"/>
    <xf numFmtId="164" fontId="7" fillId="0" borderId="0" xfId="1" applyFont="1"/>
    <xf numFmtId="166" fontId="7" fillId="0" borderId="0" xfId="0" applyNumberFormat="1" applyFont="1"/>
    <xf numFmtId="0" fontId="8" fillId="9" borderId="1" xfId="0" applyFont="1" applyFill="1" applyBorder="1" applyAlignment="1">
      <alignment wrapText="1"/>
    </xf>
    <xf numFmtId="10" fontId="7" fillId="3" borderId="1" xfId="0" applyNumberFormat="1" applyFont="1" applyFill="1" applyBorder="1" applyAlignment="1">
      <alignment horizontal="right"/>
    </xf>
    <xf numFmtId="166" fontId="7" fillId="3" borderId="1" xfId="0" applyNumberFormat="1" applyFont="1" applyFill="1" applyBorder="1"/>
    <xf numFmtId="10" fontId="8" fillId="3" borderId="1" xfId="0" applyNumberFormat="1" applyFont="1" applyFill="1" applyBorder="1" applyAlignment="1">
      <alignment horizontal="right"/>
    </xf>
    <xf numFmtId="166" fontId="7" fillId="3" borderId="1" xfId="0" applyNumberFormat="1" applyFont="1" applyFill="1" applyBorder="1" applyAlignment="1">
      <alignment horizontal="right"/>
    </xf>
    <xf numFmtId="169" fontId="7" fillId="0" borderId="0" xfId="0" applyNumberFormat="1" applyFont="1" applyAlignment="1">
      <alignment horizontal="left"/>
    </xf>
    <xf numFmtId="0" fontId="5" fillId="9" borderId="4" xfId="0" applyFont="1" applyFill="1" applyBorder="1"/>
    <xf numFmtId="0" fontId="5" fillId="9" borderId="5" xfId="0" applyFont="1" applyFill="1" applyBorder="1"/>
    <xf numFmtId="0" fontId="5" fillId="9" borderId="6" xfId="0" applyFont="1" applyFill="1" applyBorder="1"/>
    <xf numFmtId="0" fontId="6" fillId="0" borderId="7" xfId="0" applyFont="1" applyBorder="1"/>
    <xf numFmtId="165" fontId="6" fillId="0" borderId="0" xfId="0" applyNumberFormat="1" applyFont="1"/>
    <xf numFmtId="0" fontId="5" fillId="2" borderId="4" xfId="0" applyFont="1" applyFill="1" applyBorder="1"/>
    <xf numFmtId="0" fontId="5" fillId="2" borderId="5" xfId="0" applyFont="1" applyFill="1" applyBorder="1"/>
    <xf numFmtId="0" fontId="6" fillId="0" borderId="4" xfId="0" applyFont="1" applyBorder="1"/>
    <xf numFmtId="0" fontId="6" fillId="0" borderId="5" xfId="0" applyFont="1" applyBorder="1"/>
    <xf numFmtId="165" fontId="6" fillId="0" borderId="5" xfId="0" applyNumberFormat="1" applyFont="1" applyBorder="1"/>
    <xf numFmtId="0" fontId="6" fillId="0" borderId="9" xfId="0" applyFont="1" applyBorder="1"/>
    <xf numFmtId="0" fontId="6" fillId="0" borderId="10" xfId="0" applyFont="1" applyBorder="1"/>
    <xf numFmtId="165" fontId="6" fillId="0" borderId="10" xfId="0" applyNumberFormat="1" applyFont="1" applyBorder="1"/>
    <xf numFmtId="166" fontId="6" fillId="0" borderId="4" xfId="0" applyNumberFormat="1" applyFont="1" applyBorder="1"/>
    <xf numFmtId="166" fontId="6" fillId="0" borderId="5" xfId="0" applyNumberFormat="1" applyFont="1" applyBorder="1"/>
    <xf numFmtId="166" fontId="6" fillId="0" borderId="7" xfId="0" applyNumberFormat="1" applyFont="1" applyBorder="1"/>
    <xf numFmtId="0" fontId="5" fillId="5" borderId="5" xfId="0" applyFont="1" applyFill="1" applyBorder="1"/>
    <xf numFmtId="0" fontId="5" fillId="5" borderId="6" xfId="0" applyFont="1" applyFill="1" applyBorder="1"/>
    <xf numFmtId="166" fontId="5" fillId="0" borderId="6" xfId="0" applyNumberFormat="1" applyFont="1" applyBorder="1"/>
    <xf numFmtId="166" fontId="5" fillId="0" borderId="8" xfId="0" applyNumberFormat="1" applyFont="1" applyBorder="1"/>
    <xf numFmtId="166" fontId="5" fillId="3" borderId="3" xfId="0" applyNumberFormat="1" applyFont="1" applyFill="1" applyBorder="1"/>
    <xf numFmtId="166" fontId="5" fillId="3" borderId="12" xfId="0" applyNumberFormat="1" applyFont="1" applyFill="1" applyBorder="1"/>
    <xf numFmtId="166" fontId="5" fillId="6" borderId="12" xfId="0" applyNumberFormat="1" applyFont="1" applyFill="1" applyBorder="1"/>
    <xf numFmtId="166" fontId="5" fillId="6" borderId="13" xfId="0" applyNumberFormat="1" applyFont="1" applyFill="1" applyBorder="1"/>
    <xf numFmtId="166" fontId="6" fillId="17" borderId="14" xfId="0" applyNumberFormat="1" applyFont="1" applyFill="1" applyBorder="1"/>
    <xf numFmtId="166" fontId="6" fillId="13" borderId="14" xfId="0" applyNumberFormat="1" applyFont="1" applyFill="1" applyBorder="1"/>
    <xf numFmtId="0" fontId="5" fillId="16" borderId="1" xfId="0" applyFont="1" applyFill="1" applyBorder="1"/>
    <xf numFmtId="0" fontId="14" fillId="0" borderId="0" xfId="0" applyFont="1"/>
    <xf numFmtId="169" fontId="14" fillId="6" borderId="0" xfId="0" applyNumberFormat="1" applyFont="1" applyFill="1"/>
    <xf numFmtId="169" fontId="14" fillId="6" borderId="8" xfId="0" applyNumberFormat="1" applyFont="1" applyFill="1" applyBorder="1"/>
    <xf numFmtId="169" fontId="14" fillId="6" borderId="2" xfId="0" applyNumberFormat="1" applyFont="1" applyFill="1" applyBorder="1"/>
    <xf numFmtId="0" fontId="6" fillId="0" borderId="6" xfId="0" applyFont="1" applyBorder="1"/>
    <xf numFmtId="0" fontId="6" fillId="0" borderId="8" xfId="0" applyFont="1" applyBorder="1"/>
    <xf numFmtId="0" fontId="6" fillId="0" borderId="11" xfId="0" applyFont="1" applyBorder="1"/>
    <xf numFmtId="169" fontId="14" fillId="3" borderId="4" xfId="0" applyNumberFormat="1" applyFont="1" applyFill="1" applyBorder="1"/>
    <xf numFmtId="169" fontId="14" fillId="3" borderId="5" xfId="0" applyNumberFormat="1" applyFont="1" applyFill="1" applyBorder="1"/>
    <xf numFmtId="169" fontId="14" fillId="3" borderId="6" xfId="0" applyNumberFormat="1" applyFont="1" applyFill="1" applyBorder="1"/>
    <xf numFmtId="166" fontId="5" fillId="3" borderId="13" xfId="0" applyNumberFormat="1" applyFont="1" applyFill="1" applyBorder="1"/>
    <xf numFmtId="0" fontId="5" fillId="2" borderId="15" xfId="0" applyFont="1" applyFill="1" applyBorder="1"/>
    <xf numFmtId="168" fontId="5" fillId="2" borderId="15" xfId="0" applyNumberFormat="1" applyFont="1" applyFill="1" applyBorder="1"/>
    <xf numFmtId="0" fontId="6" fillId="0" borderId="15" xfId="0" applyFont="1" applyBorder="1"/>
    <xf numFmtId="168" fontId="5" fillId="18" borderId="15" xfId="0" applyNumberFormat="1" applyFont="1" applyFill="1" applyBorder="1"/>
    <xf numFmtId="0" fontId="15" fillId="19" borderId="17" xfId="0" applyFont="1" applyFill="1" applyBorder="1"/>
    <xf numFmtId="0" fontId="15" fillId="19" borderId="16" xfId="0" applyFont="1" applyFill="1" applyBorder="1"/>
    <xf numFmtId="168" fontId="15" fillId="19" borderId="16" xfId="0" applyNumberFormat="1" applyFont="1" applyFill="1" applyBorder="1"/>
    <xf numFmtId="15" fontId="15" fillId="19" borderId="16" xfId="0" applyNumberFormat="1" applyFont="1" applyFill="1" applyBorder="1"/>
    <xf numFmtId="0" fontId="16" fillId="20" borderId="1" xfId="0" applyFont="1" applyFill="1" applyBorder="1"/>
    <xf numFmtId="168" fontId="16" fillId="21" borderId="1" xfId="0" applyNumberFormat="1" applyFont="1" applyFill="1" applyBorder="1" applyAlignment="1">
      <alignment horizontal="left"/>
    </xf>
    <xf numFmtId="0" fontId="6" fillId="12" borderId="17" xfId="0" applyFont="1" applyFill="1" applyBorder="1"/>
    <xf numFmtId="0" fontId="6" fillId="12" borderId="16" xfId="0" applyFont="1" applyFill="1" applyBorder="1"/>
    <xf numFmtId="168" fontId="6" fillId="12" borderId="16" xfId="0" applyNumberFormat="1" applyFont="1" applyFill="1" applyBorder="1"/>
    <xf numFmtId="15" fontId="6" fillId="12" borderId="16" xfId="0" applyNumberFormat="1" applyFont="1" applyFill="1" applyBorder="1"/>
    <xf numFmtId="0" fontId="6" fillId="13" borderId="1" xfId="0" applyFont="1" applyFill="1" applyBorder="1"/>
    <xf numFmtId="168" fontId="6" fillId="13" borderId="1" xfId="0" applyNumberFormat="1" applyFont="1" applyFill="1" applyBorder="1"/>
    <xf numFmtId="0" fontId="5" fillId="13" borderId="0" xfId="0" applyFont="1" applyFill="1"/>
    <xf numFmtId="0" fontId="4" fillId="13" borderId="0" xfId="0" applyFont="1" applyFill="1"/>
    <xf numFmtId="0" fontId="6" fillId="13" borderId="17" xfId="0" applyFont="1" applyFill="1" applyBorder="1"/>
    <xf numFmtId="0" fontId="6" fillId="13" borderId="16" xfId="0" applyFont="1" applyFill="1" applyBorder="1"/>
    <xf numFmtId="168" fontId="6" fillId="13" borderId="16" xfId="0" applyNumberFormat="1" applyFont="1" applyFill="1" applyBorder="1"/>
    <xf numFmtId="15" fontId="6" fillId="13" borderId="16" xfId="0" applyNumberFormat="1" applyFont="1" applyFill="1" applyBorder="1"/>
    <xf numFmtId="0" fontId="6" fillId="14" borderId="18" xfId="0" applyFont="1" applyFill="1" applyBorder="1"/>
    <xf numFmtId="0" fontId="6" fillId="14" borderId="19" xfId="0" applyFont="1" applyFill="1" applyBorder="1"/>
    <xf numFmtId="168" fontId="6" fillId="14" borderId="19" xfId="0" applyNumberFormat="1" applyFont="1" applyFill="1" applyBorder="1"/>
    <xf numFmtId="15" fontId="6" fillId="14" borderId="19" xfId="0" applyNumberFormat="1" applyFont="1" applyFill="1" applyBorder="1"/>
    <xf numFmtId="0" fontId="6" fillId="14" borderId="1" xfId="0" applyFont="1" applyFill="1" applyBorder="1"/>
    <xf numFmtId="168" fontId="6" fillId="14" borderId="1" xfId="0" applyNumberFormat="1" applyFont="1" applyFill="1" applyBorder="1"/>
    <xf numFmtId="0" fontId="5" fillId="14" borderId="0" xfId="0" applyFont="1" applyFill="1"/>
    <xf numFmtId="0" fontId="4" fillId="14" borderId="0" xfId="0" applyFont="1" applyFill="1"/>
    <xf numFmtId="169" fontId="16" fillId="0" borderId="7" xfId="0" applyNumberFormat="1" applyFont="1" applyBorder="1"/>
    <xf numFmtId="170" fontId="16" fillId="0" borderId="7" xfId="0" applyNumberFormat="1" applyFont="1" applyBorder="1"/>
    <xf numFmtId="169" fontId="16" fillId="0" borderId="0" xfId="0" applyNumberFormat="1" applyFont="1"/>
    <xf numFmtId="10" fontId="5" fillId="0" borderId="8" xfId="0" applyNumberFormat="1" applyFont="1" applyBorder="1"/>
    <xf numFmtId="169" fontId="6" fillId="0" borderId="0" xfId="0" applyNumberFormat="1" applyFont="1"/>
    <xf numFmtId="10" fontId="5" fillId="2" borderId="1" xfId="0" applyNumberFormat="1" applyFont="1" applyFill="1" applyBorder="1" applyAlignment="1">
      <alignment wrapText="1"/>
    </xf>
    <xf numFmtId="10" fontId="3" fillId="4" borderId="1" xfId="0" applyNumberFormat="1" applyFont="1" applyFill="1" applyBorder="1" applyAlignment="1">
      <alignment horizontal="center"/>
    </xf>
    <xf numFmtId="166" fontId="7" fillId="13" borderId="13" xfId="0" applyNumberFormat="1" applyFont="1" applyFill="1" applyBorder="1"/>
    <xf numFmtId="10" fontId="5" fillId="2" borderId="2" xfId="0" applyNumberFormat="1" applyFont="1" applyFill="1" applyBorder="1" applyAlignment="1">
      <alignment wrapText="1"/>
    </xf>
    <xf numFmtId="10" fontId="6" fillId="0" borderId="0" xfId="0" applyNumberFormat="1" applyFont="1"/>
    <xf numFmtId="166" fontId="8" fillId="13" borderId="13" xfId="0" applyNumberFormat="1" applyFont="1" applyFill="1" applyBorder="1"/>
    <xf numFmtId="0" fontId="8" fillId="4" borderId="12" xfId="0" applyFont="1" applyFill="1" applyBorder="1" applyAlignment="1">
      <alignment horizontal="center"/>
    </xf>
    <xf numFmtId="0" fontId="8" fillId="4" borderId="13" xfId="0" applyFont="1" applyFill="1" applyBorder="1" applyAlignment="1">
      <alignment horizontal="center"/>
    </xf>
    <xf numFmtId="166" fontId="8" fillId="3" borderId="13" xfId="0" applyNumberFormat="1" applyFont="1" applyFill="1" applyBorder="1"/>
    <xf numFmtId="10" fontId="5" fillId="2" borderId="3" xfId="0" applyNumberFormat="1" applyFont="1" applyFill="1" applyBorder="1" applyAlignment="1">
      <alignment wrapText="1"/>
    </xf>
    <xf numFmtId="166" fontId="6" fillId="13" borderId="1" xfId="0" applyNumberFormat="1" applyFont="1" applyFill="1" applyBorder="1"/>
    <xf numFmtId="169" fontId="8" fillId="0" borderId="1" xfId="0" applyNumberFormat="1" applyFont="1" applyBorder="1"/>
    <xf numFmtId="10" fontId="8" fillId="14" borderId="1" xfId="0" applyNumberFormat="1" applyFont="1" applyFill="1" applyBorder="1" applyAlignment="1">
      <alignment horizontal="right"/>
    </xf>
    <xf numFmtId="166" fontId="8" fillId="0" borderId="1" xfId="0" applyNumberFormat="1" applyFont="1" applyBorder="1"/>
    <xf numFmtId="166" fontId="7" fillId="0" borderId="0" xfId="0" applyNumberFormat="1" applyFont="1" applyAlignment="1">
      <alignment horizontal="left"/>
    </xf>
    <xf numFmtId="0" fontId="10" fillId="0" borderId="0" xfId="0" applyFont="1"/>
    <xf numFmtId="169" fontId="10" fillId="25" borderId="1" xfId="0" applyNumberFormat="1" applyFont="1" applyFill="1" applyBorder="1"/>
    <xf numFmtId="0" fontId="19" fillId="0" borderId="0" xfId="0" applyFont="1" applyAlignment="1">
      <alignment horizontal="left"/>
    </xf>
    <xf numFmtId="166" fontId="7" fillId="13" borderId="1" xfId="0" applyNumberFormat="1" applyFont="1" applyFill="1" applyBorder="1" applyAlignment="1">
      <alignment horizontal="right"/>
    </xf>
    <xf numFmtId="0" fontId="8" fillId="26" borderId="1" xfId="0" applyFont="1" applyFill="1" applyBorder="1" applyAlignment="1">
      <alignment wrapText="1"/>
    </xf>
    <xf numFmtId="10" fontId="7" fillId="25" borderId="1" xfId="0" applyNumberFormat="1" applyFont="1" applyFill="1" applyBorder="1" applyAlignment="1">
      <alignment horizontal="right"/>
    </xf>
    <xf numFmtId="10" fontId="8" fillId="25" borderId="1" xfId="0" applyNumberFormat="1" applyFont="1" applyFill="1" applyBorder="1" applyAlignment="1">
      <alignment horizontal="right"/>
    </xf>
    <xf numFmtId="166" fontId="7" fillId="25" borderId="1" xfId="0" applyNumberFormat="1" applyFont="1" applyFill="1" applyBorder="1"/>
    <xf numFmtId="166" fontId="8" fillId="25" borderId="1" xfId="0" applyNumberFormat="1" applyFont="1" applyFill="1" applyBorder="1"/>
    <xf numFmtId="166" fontId="8" fillId="25" borderId="13" xfId="0" applyNumberFormat="1" applyFont="1" applyFill="1" applyBorder="1"/>
    <xf numFmtId="166" fontId="7" fillId="25" borderId="1" xfId="0" applyNumberFormat="1" applyFont="1" applyFill="1" applyBorder="1" applyAlignment="1">
      <alignment horizontal="right"/>
    </xf>
    <xf numFmtId="169" fontId="5" fillId="27" borderId="0" xfId="0" applyNumberFormat="1" applyFont="1" applyFill="1"/>
    <xf numFmtId="0" fontId="17" fillId="0" borderId="0" xfId="0" applyFont="1"/>
    <xf numFmtId="0" fontId="18" fillId="0" borderId="0" xfId="0" applyFont="1" applyAlignment="1">
      <alignment horizontal="left" vertical="top"/>
    </xf>
    <xf numFmtId="15" fontId="17" fillId="0" borderId="0" xfId="0" applyNumberFormat="1" applyFont="1"/>
    <xf numFmtId="0" fontId="17" fillId="23" borderId="0" xfId="0" applyFont="1" applyFill="1"/>
    <xf numFmtId="170" fontId="17" fillId="0" borderId="0" xfId="0" applyNumberFormat="1" applyFont="1"/>
    <xf numFmtId="170" fontId="6" fillId="0" borderId="0" xfId="0" applyNumberFormat="1" applyFont="1"/>
    <xf numFmtId="171" fontId="6" fillId="0" borderId="0" xfId="0" applyNumberFormat="1" applyFont="1"/>
    <xf numFmtId="0" fontId="15" fillId="22" borderId="0" xfId="0" applyFont="1" applyFill="1"/>
    <xf numFmtId="0" fontId="15" fillId="22" borderId="0" xfId="2" applyFont="1" applyFill="1" applyAlignment="1">
      <alignment horizontal="left" vertical="top"/>
    </xf>
    <xf numFmtId="15" fontId="15" fillId="22" borderId="0" xfId="0" applyNumberFormat="1" applyFont="1" applyFill="1"/>
    <xf numFmtId="170" fontId="15" fillId="22" borderId="0" xfId="0" applyNumberFormat="1" applyFont="1" applyFill="1"/>
    <xf numFmtId="170" fontId="15" fillId="13" borderId="0" xfId="0" applyNumberFormat="1" applyFont="1" applyFill="1"/>
    <xf numFmtId="170" fontId="17" fillId="14" borderId="0" xfId="0" applyNumberFormat="1" applyFont="1" applyFill="1"/>
    <xf numFmtId="0" fontId="6" fillId="0" borderId="8" xfId="0" applyFont="1" applyBorder="1" applyAlignment="1">
      <alignment horizontal="right"/>
    </xf>
    <xf numFmtId="10" fontId="5" fillId="0" borderId="8" xfId="0" applyNumberFormat="1" applyFont="1" applyBorder="1" applyAlignment="1">
      <alignment horizontal="right"/>
    </xf>
    <xf numFmtId="170" fontId="15" fillId="22" borderId="0" xfId="0" applyNumberFormat="1" applyFont="1" applyFill="1" applyAlignment="1">
      <alignment horizontal="right"/>
    </xf>
    <xf numFmtId="10" fontId="6" fillId="0" borderId="0" xfId="0" applyNumberFormat="1" applyFont="1" applyAlignment="1">
      <alignment horizontal="right"/>
    </xf>
    <xf numFmtId="0" fontId="6" fillId="0" borderId="0" xfId="0" applyFont="1" applyAlignment="1">
      <alignment horizontal="right"/>
    </xf>
    <xf numFmtId="169" fontId="5" fillId="0" borderId="0" xfId="0" applyNumberFormat="1" applyFont="1"/>
    <xf numFmtId="0" fontId="20" fillId="0" borderId="0" xfId="0" applyFont="1"/>
    <xf numFmtId="169" fontId="20" fillId="0" borderId="0" xfId="0" applyNumberFormat="1" applyFont="1"/>
    <xf numFmtId="166" fontId="7" fillId="25" borderId="13" xfId="0" applyNumberFormat="1" applyFont="1" applyFill="1" applyBorder="1" applyAlignment="1">
      <alignment horizontal="right"/>
    </xf>
    <xf numFmtId="166" fontId="7" fillId="13" borderId="13" xfId="0" applyNumberFormat="1" applyFont="1" applyFill="1" applyBorder="1" applyAlignment="1">
      <alignment horizontal="right"/>
    </xf>
    <xf numFmtId="169" fontId="7" fillId="0" borderId="1" xfId="0" applyNumberFormat="1" applyFont="1" applyBorder="1"/>
    <xf numFmtId="166" fontId="8" fillId="4" borderId="1" xfId="0" applyNumberFormat="1" applyFont="1" applyFill="1" applyBorder="1"/>
    <xf numFmtId="10" fontId="8" fillId="4" borderId="1" xfId="0" applyNumberFormat="1" applyFont="1" applyFill="1" applyBorder="1" applyAlignment="1">
      <alignment horizontal="right"/>
    </xf>
    <xf numFmtId="10" fontId="5" fillId="28" borderId="1" xfId="0" applyNumberFormat="1" applyFont="1" applyFill="1" applyBorder="1" applyAlignment="1">
      <alignment wrapText="1"/>
    </xf>
    <xf numFmtId="0" fontId="8" fillId="28" borderId="1" xfId="0" applyFont="1" applyFill="1" applyBorder="1" applyAlignment="1">
      <alignment wrapText="1"/>
    </xf>
    <xf numFmtId="0" fontId="21" fillId="0" borderId="0" xfId="0" applyFont="1"/>
    <xf numFmtId="0" fontId="22" fillId="0" borderId="0" xfId="0" applyFont="1"/>
    <xf numFmtId="169" fontId="22" fillId="0" borderId="1" xfId="0" applyNumberFormat="1" applyFont="1" applyBorder="1"/>
    <xf numFmtId="10" fontId="22" fillId="14" borderId="1" xfId="0" applyNumberFormat="1" applyFont="1" applyFill="1" applyBorder="1" applyAlignment="1">
      <alignment horizontal="right"/>
    </xf>
    <xf numFmtId="0" fontId="23" fillId="0" borderId="0" xfId="0" applyFont="1"/>
    <xf numFmtId="166" fontId="22" fillId="0" borderId="1" xfId="0" applyNumberFormat="1" applyFont="1" applyBorder="1"/>
    <xf numFmtId="0" fontId="22" fillId="2" borderId="1" xfId="0" applyFont="1" applyFill="1" applyBorder="1" applyAlignment="1">
      <alignment wrapText="1"/>
    </xf>
    <xf numFmtId="10" fontId="24" fillId="2" borderId="1" xfId="0" applyNumberFormat="1" applyFont="1" applyFill="1" applyBorder="1" applyAlignment="1">
      <alignment wrapText="1"/>
    </xf>
    <xf numFmtId="0" fontId="22" fillId="12" borderId="1" xfId="0" applyFont="1" applyFill="1" applyBorder="1" applyAlignment="1">
      <alignment wrapText="1"/>
    </xf>
    <xf numFmtId="14" fontId="21" fillId="0" borderId="0" xfId="0" applyNumberFormat="1" applyFont="1"/>
    <xf numFmtId="10" fontId="2" fillId="0" borderId="0" xfId="0" applyNumberFormat="1" applyFont="1"/>
    <xf numFmtId="166" fontId="21" fillId="13" borderId="11" xfId="0" applyNumberFormat="1" applyFont="1" applyFill="1" applyBorder="1"/>
    <xf numFmtId="166" fontId="21" fillId="13" borderId="20" xfId="0" applyNumberFormat="1" applyFont="1" applyFill="1" applyBorder="1"/>
    <xf numFmtId="10" fontId="21" fillId="13" borderId="20" xfId="0" applyNumberFormat="1" applyFont="1" applyFill="1" applyBorder="1" applyAlignment="1">
      <alignment horizontal="right"/>
    </xf>
    <xf numFmtId="166" fontId="21" fillId="13" borderId="13" xfId="0" applyNumberFormat="1" applyFont="1" applyFill="1" applyBorder="1"/>
    <xf numFmtId="166" fontId="21" fillId="13" borderId="1" xfId="0" applyNumberFormat="1" applyFont="1" applyFill="1" applyBorder="1"/>
    <xf numFmtId="10" fontId="21" fillId="13" borderId="1" xfId="0" applyNumberFormat="1" applyFont="1" applyFill="1" applyBorder="1" applyAlignment="1">
      <alignment horizontal="right"/>
    </xf>
    <xf numFmtId="0" fontId="22" fillId="4" borderId="13" xfId="0" applyFont="1" applyFill="1" applyBorder="1" applyAlignment="1">
      <alignment horizontal="center"/>
    </xf>
    <xf numFmtId="166" fontId="22" fillId="13" borderId="13" xfId="0" applyNumberFormat="1" applyFont="1" applyFill="1" applyBorder="1"/>
    <xf numFmtId="10" fontId="22" fillId="13" borderId="1" xfId="0" applyNumberFormat="1" applyFont="1" applyFill="1" applyBorder="1" applyAlignment="1">
      <alignment horizontal="right"/>
    </xf>
    <xf numFmtId="0" fontId="22" fillId="26" borderId="1" xfId="0" applyFont="1" applyFill="1" applyBorder="1" applyAlignment="1">
      <alignment wrapText="1"/>
    </xf>
    <xf numFmtId="166" fontId="21" fillId="25" borderId="11" xfId="0" applyNumberFormat="1" applyFont="1" applyFill="1" applyBorder="1"/>
    <xf numFmtId="166" fontId="21" fillId="25" borderId="20" xfId="0" applyNumberFormat="1" applyFont="1" applyFill="1" applyBorder="1"/>
    <xf numFmtId="10" fontId="21" fillId="25" borderId="20" xfId="0" applyNumberFormat="1" applyFont="1" applyFill="1" applyBorder="1" applyAlignment="1">
      <alignment horizontal="right"/>
    </xf>
    <xf numFmtId="166" fontId="21" fillId="25" borderId="13" xfId="0" applyNumberFormat="1" applyFont="1" applyFill="1" applyBorder="1"/>
    <xf numFmtId="166" fontId="21" fillId="25" borderId="1" xfId="0" applyNumberFormat="1" applyFont="1" applyFill="1" applyBorder="1"/>
    <xf numFmtId="10" fontId="21" fillId="25" borderId="1" xfId="0" applyNumberFormat="1" applyFont="1" applyFill="1" applyBorder="1" applyAlignment="1">
      <alignment horizontal="right"/>
    </xf>
    <xf numFmtId="166" fontId="22" fillId="25" borderId="13" xfId="0" applyNumberFormat="1" applyFont="1" applyFill="1" applyBorder="1"/>
    <xf numFmtId="10" fontId="22" fillId="25" borderId="1" xfId="0" applyNumberFormat="1" applyFont="1" applyFill="1" applyBorder="1" applyAlignment="1">
      <alignment horizontal="right"/>
    </xf>
    <xf numFmtId="0" fontId="1" fillId="0" borderId="1" xfId="0" applyFont="1" applyBorder="1"/>
    <xf numFmtId="172" fontId="1" fillId="0" borderId="1" xfId="0" applyNumberFormat="1" applyFont="1" applyBorder="1"/>
    <xf numFmtId="10" fontId="25" fillId="0" borderId="1" xfId="3" applyNumberFormat="1" applyFont="1" applyBorder="1"/>
    <xf numFmtId="0" fontId="25" fillId="6" borderId="1" xfId="0" applyFont="1" applyFill="1" applyBorder="1"/>
    <xf numFmtId="0" fontId="25" fillId="3" borderId="1" xfId="0" applyFont="1" applyFill="1" applyBorder="1"/>
    <xf numFmtId="0" fontId="25" fillId="0" borderId="1" xfId="0" applyFont="1" applyBorder="1"/>
    <xf numFmtId="0" fontId="1" fillId="0" borderId="0" xfId="0" applyFont="1"/>
    <xf numFmtId="0" fontId="1" fillId="6" borderId="1" xfId="0" applyFont="1" applyFill="1" applyBorder="1"/>
    <xf numFmtId="166" fontId="1" fillId="6" borderId="1" xfId="0" applyNumberFormat="1" applyFont="1" applyFill="1" applyBorder="1"/>
    <xf numFmtId="166" fontId="1" fillId="3" borderId="13" xfId="0" applyNumberFormat="1" applyFont="1" applyFill="1" applyBorder="1"/>
    <xf numFmtId="166" fontId="1" fillId="3" borderId="1" xfId="0" applyNumberFormat="1" applyFont="1" applyFill="1" applyBorder="1"/>
    <xf numFmtId="15" fontId="1" fillId="6" borderId="1" xfId="0" applyNumberFormat="1" applyFont="1" applyFill="1" applyBorder="1"/>
    <xf numFmtId="0" fontId="25" fillId="0" borderId="0" xfId="0" applyFont="1"/>
    <xf numFmtId="166" fontId="1" fillId="0" borderId="0" xfId="0" applyNumberFormat="1" applyFont="1"/>
    <xf numFmtId="14" fontId="1" fillId="6" borderId="1" xfId="0" applyNumberFormat="1" applyFont="1" applyFill="1" applyBorder="1"/>
    <xf numFmtId="166" fontId="1" fillId="3" borderId="3" xfId="0" applyNumberFormat="1" applyFont="1" applyFill="1" applyBorder="1" applyAlignment="1">
      <alignment horizontal="center"/>
    </xf>
    <xf numFmtId="166" fontId="1" fillId="3" borderId="12" xfId="0" applyNumberFormat="1" applyFont="1" applyFill="1" applyBorder="1" applyAlignment="1">
      <alignment horizontal="center"/>
    </xf>
    <xf numFmtId="166" fontId="1" fillId="3" borderId="13" xfId="0" applyNumberFormat="1" applyFont="1" applyFill="1" applyBorder="1" applyAlignment="1">
      <alignment horizontal="center"/>
    </xf>
    <xf numFmtId="0" fontId="3" fillId="4" borderId="1" xfId="0" applyFont="1" applyFill="1" applyBorder="1" applyAlignment="1">
      <alignment horizontal="center"/>
    </xf>
    <xf numFmtId="0" fontId="8" fillId="4" borderId="3" xfId="0" applyFont="1" applyFill="1" applyBorder="1" applyAlignment="1">
      <alignment horizontal="center"/>
    </xf>
    <xf numFmtId="0" fontId="8" fillId="4" borderId="12" xfId="0" applyFont="1" applyFill="1" applyBorder="1" applyAlignment="1">
      <alignment horizontal="center"/>
    </xf>
    <xf numFmtId="0" fontId="22" fillId="4" borderId="3" xfId="0" applyFont="1" applyFill="1" applyBorder="1" applyAlignment="1">
      <alignment horizontal="center"/>
    </xf>
    <xf numFmtId="0" fontId="22" fillId="4" borderId="12" xfId="0" applyFont="1" applyFill="1" applyBorder="1" applyAlignment="1">
      <alignment horizontal="center"/>
    </xf>
    <xf numFmtId="0" fontId="3" fillId="3" borderId="3" xfId="0" applyFont="1" applyFill="1" applyBorder="1" applyAlignment="1">
      <alignment horizontal="center"/>
    </xf>
    <xf numFmtId="0" fontId="3" fillId="3" borderId="12" xfId="0" applyFont="1" applyFill="1" applyBorder="1" applyAlignment="1">
      <alignment horizontal="center"/>
    </xf>
    <xf numFmtId="0" fontId="3" fillId="3" borderId="13" xfId="0" applyFont="1" applyFill="1" applyBorder="1" applyAlignment="1">
      <alignment horizontal="center"/>
    </xf>
    <xf numFmtId="0" fontId="5" fillId="4" borderId="9" xfId="0" applyFont="1" applyFill="1" applyBorder="1" applyAlignment="1">
      <alignment horizontal="center"/>
    </xf>
    <xf numFmtId="0" fontId="5" fillId="4" borderId="10" xfId="0" applyFont="1" applyFill="1" applyBorder="1" applyAlignment="1">
      <alignment horizontal="center"/>
    </xf>
    <xf numFmtId="0" fontId="3" fillId="6" borderId="3" xfId="0" applyFont="1" applyFill="1" applyBorder="1" applyAlignment="1">
      <alignment horizontal="center"/>
    </xf>
    <xf numFmtId="0" fontId="3" fillId="6" borderId="12" xfId="0" applyFont="1" applyFill="1" applyBorder="1" applyAlignment="1">
      <alignment horizontal="center"/>
    </xf>
    <xf numFmtId="0" fontId="3" fillId="6" borderId="13" xfId="0" applyFont="1" applyFill="1" applyBorder="1" applyAlignment="1">
      <alignment horizontal="center"/>
    </xf>
    <xf numFmtId="0" fontId="5" fillId="24" borderId="4" xfId="0" applyFont="1" applyFill="1" applyBorder="1" applyAlignment="1">
      <alignment horizontal="center"/>
    </xf>
    <xf numFmtId="0" fontId="5" fillId="24" borderId="5" xfId="0" applyFont="1" applyFill="1" applyBorder="1" applyAlignment="1">
      <alignment horizontal="center"/>
    </xf>
    <xf numFmtId="0" fontId="5" fillId="24" borderId="6" xfId="0" applyFont="1" applyFill="1" applyBorder="1" applyAlignment="1">
      <alignment horizontal="center"/>
    </xf>
    <xf numFmtId="0" fontId="16" fillId="13" borderId="4" xfId="0" applyFont="1" applyFill="1" applyBorder="1" applyAlignment="1">
      <alignment horizontal="center"/>
    </xf>
    <xf numFmtId="0" fontId="16" fillId="13" borderId="5" xfId="0" applyFont="1" applyFill="1" applyBorder="1" applyAlignment="1">
      <alignment horizontal="center"/>
    </xf>
    <xf numFmtId="0" fontId="16" fillId="13" borderId="6" xfId="0" applyFont="1" applyFill="1" applyBorder="1" applyAlignment="1">
      <alignment horizontal="center"/>
    </xf>
    <xf numFmtId="0" fontId="5" fillId="0" borderId="0" xfId="0" applyFont="1" applyAlignment="1">
      <alignment horizontal="center"/>
    </xf>
  </cellXfs>
  <cellStyles count="4">
    <cellStyle name="Comma" xfId="1" builtinId="3"/>
    <cellStyle name="Normal" xfId="0" builtinId="0"/>
    <cellStyle name="Normal 2" xfId="2" xr:uid="{29032C72-9628-4938-9129-387F677267BF}"/>
    <cellStyle name="Per cent" xfId="3" builtinId="5"/>
  </cellStyles>
  <dxfs count="3">
    <dxf>
      <fill>
        <patternFill>
          <bgColor rgb="FFFFC000"/>
        </patternFill>
      </fill>
    </dxf>
    <dxf>
      <fill>
        <patternFill>
          <bgColor rgb="FF92D050"/>
        </patternFill>
      </fill>
    </dxf>
    <dxf>
      <font>
        <color rgb="FF9C0006"/>
      </font>
      <fill>
        <patternFill>
          <bgColor rgb="FFFFC7CE"/>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8" Type="http://schemas.openxmlformats.org/officeDocument/2006/relationships/hyperlink" Target="https://w3.ibm.com/services/ippf/api/public/redirect?url=https://w3.ibm.com/services/ippf/protected/EU/topsheet/e/UKAHYHH/mainaction.wss" TargetMode="External"/><Relationship Id="rId13" Type="http://schemas.openxmlformats.org/officeDocument/2006/relationships/hyperlink" Target="https://w3.ibm.com/services/ippf/api/public/redirect?url=https://w3.ibm.com/services/ippf/protected/EU/topsheet/e/UKAHZQI/mainaction.wss" TargetMode="External"/><Relationship Id="rId3" Type="http://schemas.openxmlformats.org/officeDocument/2006/relationships/hyperlink" Target="https://w3.ibm.com/services/ippf/api/public/redirect?url=https://w3.ibm.com/services/ippf/protected/EU/topsheet/e/UKAHUCV/mainaction.wss" TargetMode="External"/><Relationship Id="rId7" Type="http://schemas.openxmlformats.org/officeDocument/2006/relationships/hyperlink" Target="https://w3.ibm.com/services/ippf/api/public/redirect?url=https://w3.ibm.com/services/ippf/protected/EU/topsheet/e/UKAHYAH/mainaction.wss" TargetMode="External"/><Relationship Id="rId12" Type="http://schemas.openxmlformats.org/officeDocument/2006/relationships/hyperlink" Target="https://w3.ibm.com/services/ippf/api/public/redirect?url=https://w3.ibm.com/services/ippf/protected/EU/topsheet/e/UKAHZKR/mainaction.wss" TargetMode="External"/><Relationship Id="rId2" Type="http://schemas.openxmlformats.org/officeDocument/2006/relationships/hyperlink" Target="https://w3.ibm.com/services/ippf/api/public/redirect?url=https://w3.ibm.com/services/ippf/protected/EU/topsheet/e/UKAHSWZ/mainaction.wss" TargetMode="External"/><Relationship Id="rId1" Type="http://schemas.openxmlformats.org/officeDocument/2006/relationships/hyperlink" Target="https://w3.ibm.com/services/ippf/api/public/redirect?url=https://w3.ibm.com/services/ippf/protected/EU/topsheet/e/UKAHRHQ/mainaction.wss" TargetMode="External"/><Relationship Id="rId6" Type="http://schemas.openxmlformats.org/officeDocument/2006/relationships/hyperlink" Target="https://w3.ibm.com/services/ippf/api/public/redirect?url=https://w3.ibm.com/services/ippf/protected/EU/topsheet/e/UKAHXNG/mainaction.wss" TargetMode="External"/><Relationship Id="rId11" Type="http://schemas.openxmlformats.org/officeDocument/2006/relationships/hyperlink" Target="https://w3.ibm.com/services/ippf/api/public/redirect?url=https://w3.ibm.com/services/ippf/protected/EU/topsheet/e/UKAHZKP/mainaction.wss" TargetMode="External"/><Relationship Id="rId5" Type="http://schemas.openxmlformats.org/officeDocument/2006/relationships/hyperlink" Target="https://w3.ibm.com/services/ippf/api/public/redirect?url=https://w3.ibm.com/services/ippf/protected/EU/topsheet/e/UKAHVRH/mainaction.wss" TargetMode="External"/><Relationship Id="rId15" Type="http://schemas.openxmlformats.org/officeDocument/2006/relationships/hyperlink" Target="https://w3.ibm.com/services/ippf/api/public/redirect?url=https://w3.ibm.com/services/ippf/protected/EU/topsheet/e/UKAIANF/mainaction.wss" TargetMode="External"/><Relationship Id="rId10" Type="http://schemas.openxmlformats.org/officeDocument/2006/relationships/hyperlink" Target="https://w3.ibm.com/services/ippf/api/public/redirect?url=https://w3.ibm.com/services/ippf/protected/EU/topsheet/e/UKAHYXI/mainaction.wss" TargetMode="External"/><Relationship Id="rId4" Type="http://schemas.openxmlformats.org/officeDocument/2006/relationships/hyperlink" Target="https://w3.ibm.com/services/ippf/api/public/redirect?url=https://w3.ibm.com/services/ippf/protected/EU/topsheet/e/UKAHUKP/mainaction.wss" TargetMode="External"/><Relationship Id="rId9" Type="http://schemas.openxmlformats.org/officeDocument/2006/relationships/hyperlink" Target="https://w3.ibm.com/services/ippf/api/public/redirect?url=https://w3.ibm.com/services/ippf/protected/EU/topsheet/e/UKAHYPJ/mainaction.wss" TargetMode="External"/><Relationship Id="rId14" Type="http://schemas.openxmlformats.org/officeDocument/2006/relationships/hyperlink" Target="https://w3.ibm.com/services/ippf/api/public/redirect?url=https://w3.ibm.com/services/ippf/protected/EU/topsheet/e/UKAHZRH/mainaction.w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A833-7655-4E97-9334-00B390F90516}">
  <dimension ref="A1:AB58"/>
  <sheetViews>
    <sheetView workbookViewId="0">
      <pane xSplit="7" ySplit="2" topLeftCell="H3" activePane="bottomRight" state="frozen"/>
      <selection pane="topRight" activeCell="H1" sqref="H1"/>
      <selection pane="bottomLeft" activeCell="A3" sqref="A3"/>
      <selection pane="bottomRight"/>
    </sheetView>
  </sheetViews>
  <sheetFormatPr baseColWidth="10" defaultColWidth="9" defaultRowHeight="13" outlineLevelCol="1" x14ac:dyDescent="0.15"/>
  <cols>
    <col min="1" max="1" width="6.3984375" bestFit="1" customWidth="1"/>
    <col min="2" max="2" width="8" bestFit="1" customWidth="1"/>
    <col min="3" max="3" width="25.796875" customWidth="1"/>
    <col min="4" max="4" width="7.3984375" bestFit="1" customWidth="1"/>
    <col min="5" max="5" width="11.59765625" bestFit="1" customWidth="1"/>
    <col min="6" max="6" width="10.796875" bestFit="1" customWidth="1"/>
    <col min="7" max="7" width="9.796875" style="34" bestFit="1" customWidth="1"/>
    <col min="8" max="10" width="11.19921875" customWidth="1" outlineLevel="1"/>
    <col min="11" max="11" width="8.796875" customWidth="1" outlineLevel="1"/>
    <col min="12" max="14" width="11.19921875" customWidth="1" outlineLevel="1"/>
    <col min="15" max="15" width="8.796875" customWidth="1" outlineLevel="1"/>
    <col min="16" max="18" width="11.19921875" customWidth="1" outlineLevel="1"/>
    <col min="19" max="19" width="8.796875" customWidth="1" outlineLevel="1"/>
    <col min="20" max="21" width="11.19921875" customWidth="1" outlineLevel="1"/>
    <col min="22" max="22" width="10.796875" customWidth="1" outlineLevel="1"/>
    <col min="23" max="23" width="8.796875" customWidth="1" outlineLevel="1"/>
    <col min="24" max="25" width="13.796875" style="3" bestFit="1" customWidth="1"/>
    <col min="26" max="26" width="12.19921875" bestFit="1" customWidth="1"/>
    <col min="27" max="27" width="9.59765625" bestFit="1" customWidth="1"/>
  </cols>
  <sheetData>
    <row r="1" spans="1:27" x14ac:dyDescent="0.15">
      <c r="H1" s="6">
        <f>SUBTOTAL(9,H3:H44)</f>
        <v>1859103.3</v>
      </c>
      <c r="I1" s="6">
        <f>SUBTOTAL(9,I3:I44)</f>
        <v>1726229.21</v>
      </c>
      <c r="J1" s="35">
        <f>H1-I1</f>
        <v>132874.09000000008</v>
      </c>
      <c r="K1" s="36">
        <f>J1/H1*100%</f>
        <v>7.1472139283492248E-2</v>
      </c>
      <c r="L1" s="6">
        <f>SUBTOTAL(9,L3:L44)</f>
        <v>2290018.4799999995</v>
      </c>
      <c r="M1" s="6">
        <f>SUBTOTAL(9,M3:M44)</f>
        <v>2122264.1599999997</v>
      </c>
      <c r="N1" s="35">
        <f>L1-M1</f>
        <v>167754.31999999983</v>
      </c>
      <c r="O1" s="36">
        <f>N1/L1*100%</f>
        <v>7.3254570417265741E-2</v>
      </c>
      <c r="P1" s="6">
        <f>SUBTOTAL(9,P3:P44)</f>
        <v>3186014.7100000004</v>
      </c>
      <c r="Q1" s="6">
        <f>SUBTOTAL(9,Q3:Q44)</f>
        <v>2589779.16</v>
      </c>
      <c r="R1" s="35">
        <f>P1-Q1</f>
        <v>596235.55000000028</v>
      </c>
      <c r="S1" s="36">
        <f>R1/P1*100%</f>
        <v>0.1871414931414426</v>
      </c>
      <c r="T1" s="6">
        <f>SUBTOTAL(9,T3:T44)</f>
        <v>3492524.08</v>
      </c>
      <c r="U1" s="6">
        <f>SUBTOTAL(9,U3:U44)</f>
        <v>2598422.11</v>
      </c>
      <c r="V1" s="35">
        <f>T1-U1</f>
        <v>894101.9700000002</v>
      </c>
      <c r="W1" s="36">
        <f>V1/T1*100%</f>
        <v>0.25600452552928432</v>
      </c>
      <c r="X1" s="6">
        <f>SUBTOTAL(9,X3:X44)</f>
        <v>10827660.57</v>
      </c>
      <c r="Y1" s="6">
        <f>SUBTOTAL(9,Y3:Y44)</f>
        <v>9036694.6399999987</v>
      </c>
      <c r="Z1" s="35">
        <f>X1-Y1</f>
        <v>1790965.9300000016</v>
      </c>
      <c r="AA1" s="36">
        <f>Z1/X1*100%</f>
        <v>0.16540654543255612</v>
      </c>
    </row>
    <row r="2" spans="1:27" s="4" customFormat="1" ht="65" x14ac:dyDescent="0.15">
      <c r="A2" s="7" t="s">
        <v>5</v>
      </c>
      <c r="B2" s="7" t="s">
        <v>0</v>
      </c>
      <c r="C2" s="7" t="s">
        <v>1</v>
      </c>
      <c r="D2" s="7" t="s">
        <v>4</v>
      </c>
      <c r="E2" s="7" t="s">
        <v>2</v>
      </c>
      <c r="F2" s="7" t="s">
        <v>3</v>
      </c>
      <c r="G2" s="151" t="s">
        <v>300</v>
      </c>
      <c r="H2" s="10" t="s">
        <v>106</v>
      </c>
      <c r="I2" s="10" t="s">
        <v>111</v>
      </c>
      <c r="J2" s="10" t="s">
        <v>116</v>
      </c>
      <c r="K2" s="10" t="s">
        <v>117</v>
      </c>
      <c r="L2" s="13" t="s">
        <v>107</v>
      </c>
      <c r="M2" s="13" t="s">
        <v>112</v>
      </c>
      <c r="N2" s="13" t="s">
        <v>118</v>
      </c>
      <c r="O2" s="13" t="s">
        <v>119</v>
      </c>
      <c r="P2" s="16" t="s">
        <v>108</v>
      </c>
      <c r="Q2" s="16" t="s">
        <v>113</v>
      </c>
      <c r="R2" s="16" t="s">
        <v>241</v>
      </c>
      <c r="S2" s="16" t="s">
        <v>120</v>
      </c>
      <c r="T2" s="18" t="s">
        <v>109</v>
      </c>
      <c r="U2" s="18" t="s">
        <v>114</v>
      </c>
      <c r="V2" s="18" t="s">
        <v>122</v>
      </c>
      <c r="W2" s="18" t="s">
        <v>121</v>
      </c>
      <c r="X2" s="21" t="s">
        <v>110</v>
      </c>
      <c r="Y2" s="21" t="s">
        <v>115</v>
      </c>
      <c r="Z2" s="21" t="s">
        <v>123</v>
      </c>
      <c r="AA2" s="21" t="s">
        <v>6</v>
      </c>
    </row>
    <row r="3" spans="1:27" x14ac:dyDescent="0.15">
      <c r="A3" s="8" t="s">
        <v>13</v>
      </c>
      <c r="B3" s="8" t="s">
        <v>11</v>
      </c>
      <c r="C3" s="8" t="s">
        <v>12</v>
      </c>
      <c r="D3" s="8" t="s">
        <v>8</v>
      </c>
      <c r="E3" s="9">
        <v>44011</v>
      </c>
      <c r="F3" s="9">
        <v>44196</v>
      </c>
      <c r="G3" s="67">
        <v>0.25980703999999999</v>
      </c>
      <c r="H3" s="28">
        <v>0</v>
      </c>
      <c r="I3" s="28">
        <v>0</v>
      </c>
      <c r="J3" s="28">
        <f t="shared" ref="J3:J23" si="0">H3-I3</f>
        <v>0</v>
      </c>
      <c r="K3" s="11" t="e">
        <f>J3/H3*100%</f>
        <v>#DIV/0!</v>
      </c>
      <c r="L3" s="29">
        <v>0</v>
      </c>
      <c r="M3" s="29">
        <v>0</v>
      </c>
      <c r="N3" s="29">
        <f>L3-M3</f>
        <v>0</v>
      </c>
      <c r="O3" s="14" t="e">
        <f>N3/L3*100%</f>
        <v>#DIV/0!</v>
      </c>
      <c r="P3" s="30">
        <v>0</v>
      </c>
      <c r="Q3" s="30">
        <v>0</v>
      </c>
      <c r="R3" s="30">
        <f>P3-Q3</f>
        <v>0</v>
      </c>
      <c r="S3" s="5" t="e">
        <f>R3/P3*100%</f>
        <v>#DIV/0!</v>
      </c>
      <c r="T3" s="31">
        <v>0</v>
      </c>
      <c r="U3" s="31">
        <v>0</v>
      </c>
      <c r="V3" s="31">
        <f>T3-U3</f>
        <v>0</v>
      </c>
      <c r="W3" s="19" t="e">
        <f>V3/T3*100%</f>
        <v>#DIV/0!</v>
      </c>
      <c r="X3" s="22">
        <f>H3+L3+P3+T3</f>
        <v>0</v>
      </c>
      <c r="Y3" s="22">
        <f>I3+M3+Q3+U3</f>
        <v>0</v>
      </c>
      <c r="Z3" s="22">
        <f>X3-Y3</f>
        <v>0</v>
      </c>
      <c r="AA3" s="23" t="e">
        <f>Z3/X3*100%</f>
        <v>#DIV/0!</v>
      </c>
    </row>
    <row r="4" spans="1:27" x14ac:dyDescent="0.15">
      <c r="A4" s="8" t="s">
        <v>13</v>
      </c>
      <c r="B4" s="8" t="s">
        <v>15</v>
      </c>
      <c r="C4" s="8" t="s">
        <v>16</v>
      </c>
      <c r="D4" s="8" t="s">
        <v>8</v>
      </c>
      <c r="E4" s="9">
        <v>44272</v>
      </c>
      <c r="F4" s="9">
        <v>44561</v>
      </c>
      <c r="G4" s="67">
        <v>0</v>
      </c>
      <c r="H4" s="28">
        <v>0</v>
      </c>
      <c r="I4" s="28">
        <v>-1157.2</v>
      </c>
      <c r="J4" s="28">
        <f t="shared" si="0"/>
        <v>1157.2</v>
      </c>
      <c r="K4" s="11" t="e">
        <f t="shared" ref="K4:K23" si="1">J4/H4*100%</f>
        <v>#DIV/0!</v>
      </c>
      <c r="L4" s="29">
        <v>0</v>
      </c>
      <c r="M4" s="29">
        <v>40.82</v>
      </c>
      <c r="N4" s="29">
        <f t="shared" ref="N4:N23" si="2">L4-M4</f>
        <v>-40.82</v>
      </c>
      <c r="O4" s="14" t="e">
        <f t="shared" ref="O4:O23" si="3">N4/L4*100%</f>
        <v>#DIV/0!</v>
      </c>
      <c r="P4" s="30">
        <v>0</v>
      </c>
      <c r="Q4" s="30">
        <v>0</v>
      </c>
      <c r="R4" s="30">
        <f t="shared" ref="R4:R23" si="4">P4-Q4</f>
        <v>0</v>
      </c>
      <c r="S4" s="5" t="e">
        <f t="shared" ref="S4:S23" si="5">R4/P4*100%</f>
        <v>#DIV/0!</v>
      </c>
      <c r="T4" s="31">
        <v>0</v>
      </c>
      <c r="U4" s="31">
        <v>0</v>
      </c>
      <c r="V4" s="31">
        <f t="shared" ref="V4:V44" si="6">T4-U4</f>
        <v>0</v>
      </c>
      <c r="W4" s="19" t="e">
        <f t="shared" ref="W4:W44" si="7">V4/T4*100%</f>
        <v>#DIV/0!</v>
      </c>
      <c r="X4" s="22">
        <f t="shared" ref="X4:X44" si="8">H4+L4+P4+T4</f>
        <v>0</v>
      </c>
      <c r="Y4" s="22">
        <f t="shared" ref="Y4:Y44" si="9">I4+M4+Q4+U4</f>
        <v>-1116.3800000000001</v>
      </c>
      <c r="Z4" s="22">
        <f t="shared" ref="Z4:Z44" si="10">X4-Y4</f>
        <v>1116.3800000000001</v>
      </c>
      <c r="AA4" s="23" t="e">
        <f t="shared" ref="AA4:AA44" si="11">Z4/X4*100%</f>
        <v>#DIV/0!</v>
      </c>
    </row>
    <row r="5" spans="1:27" x14ac:dyDescent="0.15">
      <c r="A5" s="8" t="s">
        <v>13</v>
      </c>
      <c r="B5" s="8" t="s">
        <v>17</v>
      </c>
      <c r="C5" s="8" t="s">
        <v>18</v>
      </c>
      <c r="D5" s="8" t="s">
        <v>8</v>
      </c>
      <c r="E5" s="9">
        <v>44529</v>
      </c>
      <c r="F5" s="9">
        <v>45412</v>
      </c>
      <c r="G5" s="67">
        <v>0.28934404000000002</v>
      </c>
      <c r="H5" s="28">
        <v>270067.56</v>
      </c>
      <c r="I5" s="28">
        <v>163719.5</v>
      </c>
      <c r="J5" s="28">
        <f t="shared" si="0"/>
        <v>106348.06</v>
      </c>
      <c r="K5" s="11">
        <f t="shared" si="1"/>
        <v>0.39378317040373156</v>
      </c>
      <c r="L5" s="29">
        <v>0</v>
      </c>
      <c r="M5" s="29">
        <v>107328</v>
      </c>
      <c r="N5" s="29">
        <f t="shared" si="2"/>
        <v>-107328</v>
      </c>
      <c r="O5" s="14" t="e">
        <f t="shared" si="3"/>
        <v>#DIV/0!</v>
      </c>
      <c r="P5" s="30">
        <v>0</v>
      </c>
      <c r="Q5" s="30">
        <v>0</v>
      </c>
      <c r="R5" s="30">
        <f t="shared" si="4"/>
        <v>0</v>
      </c>
      <c r="S5" s="5" t="e">
        <f t="shared" si="5"/>
        <v>#DIV/0!</v>
      </c>
      <c r="T5" s="31">
        <v>0</v>
      </c>
      <c r="U5" s="31">
        <v>0</v>
      </c>
      <c r="V5" s="31">
        <f t="shared" si="6"/>
        <v>0</v>
      </c>
      <c r="W5" s="19" t="e">
        <f t="shared" si="7"/>
        <v>#DIV/0!</v>
      </c>
      <c r="X5" s="22">
        <f t="shared" si="8"/>
        <v>270067.56</v>
      </c>
      <c r="Y5" s="22">
        <f t="shared" si="9"/>
        <v>271047.5</v>
      </c>
      <c r="Z5" s="22">
        <f t="shared" si="10"/>
        <v>-979.94000000000233</v>
      </c>
      <c r="AA5" s="23">
        <f t="shared" si="11"/>
        <v>-3.6284994762051477E-3</v>
      </c>
    </row>
    <row r="6" spans="1:27" x14ac:dyDescent="0.15">
      <c r="A6" s="8" t="s">
        <v>13</v>
      </c>
      <c r="B6" s="8" t="s">
        <v>19</v>
      </c>
      <c r="C6" s="8" t="s">
        <v>20</v>
      </c>
      <c r="D6" s="8" t="s">
        <v>8</v>
      </c>
      <c r="E6" s="9">
        <v>44819</v>
      </c>
      <c r="F6" s="9">
        <v>45291</v>
      </c>
      <c r="G6" s="67">
        <v>0.31347237</v>
      </c>
      <c r="H6" s="28">
        <v>5759.31</v>
      </c>
      <c r="I6" s="28">
        <v>-579.24</v>
      </c>
      <c r="J6" s="28">
        <f t="shared" si="0"/>
        <v>6338.55</v>
      </c>
      <c r="K6" s="11">
        <f t="shared" si="1"/>
        <v>1.1005745479927282</v>
      </c>
      <c r="L6" s="29">
        <v>0</v>
      </c>
      <c r="M6" s="29">
        <v>-207.56</v>
      </c>
      <c r="N6" s="29">
        <f t="shared" si="2"/>
        <v>207.56</v>
      </c>
      <c r="O6" s="14" t="e">
        <f t="shared" si="3"/>
        <v>#DIV/0!</v>
      </c>
      <c r="P6" s="30">
        <v>0</v>
      </c>
      <c r="Q6" s="30">
        <v>0</v>
      </c>
      <c r="R6" s="30">
        <f t="shared" si="4"/>
        <v>0</v>
      </c>
      <c r="S6" s="5" t="e">
        <f t="shared" si="5"/>
        <v>#DIV/0!</v>
      </c>
      <c r="T6" s="31">
        <v>0</v>
      </c>
      <c r="U6" s="31">
        <v>0</v>
      </c>
      <c r="V6" s="31">
        <f t="shared" si="6"/>
        <v>0</v>
      </c>
      <c r="W6" s="19" t="e">
        <f t="shared" si="7"/>
        <v>#DIV/0!</v>
      </c>
      <c r="X6" s="22">
        <f t="shared" si="8"/>
        <v>5759.31</v>
      </c>
      <c r="Y6" s="22">
        <f t="shared" si="9"/>
        <v>-786.8</v>
      </c>
      <c r="Z6" s="22">
        <f t="shared" si="10"/>
        <v>6546.1100000000006</v>
      </c>
      <c r="AA6" s="23">
        <f t="shared" si="11"/>
        <v>1.1366135873915453</v>
      </c>
    </row>
    <row r="7" spans="1:27" x14ac:dyDescent="0.15">
      <c r="A7" s="8" t="s">
        <v>13</v>
      </c>
      <c r="B7" s="8" t="s">
        <v>21</v>
      </c>
      <c r="C7" s="8" t="s">
        <v>22</v>
      </c>
      <c r="D7" s="8" t="s">
        <v>8</v>
      </c>
      <c r="E7" s="9">
        <v>44857</v>
      </c>
      <c r="F7" s="9">
        <v>45291</v>
      </c>
      <c r="G7" s="67">
        <v>0.30509423000000002</v>
      </c>
      <c r="H7" s="28">
        <v>2170.2199999999998</v>
      </c>
      <c r="I7" s="28">
        <v>2235.6999999999998</v>
      </c>
      <c r="J7" s="28">
        <f t="shared" si="0"/>
        <v>-65.480000000000018</v>
      </c>
      <c r="K7" s="11">
        <f t="shared" si="1"/>
        <v>-3.0172056289224144E-2</v>
      </c>
      <c r="L7" s="29">
        <v>0</v>
      </c>
      <c r="M7" s="29">
        <v>0</v>
      </c>
      <c r="N7" s="29">
        <f t="shared" si="2"/>
        <v>0</v>
      </c>
      <c r="O7" s="14" t="e">
        <f t="shared" si="3"/>
        <v>#DIV/0!</v>
      </c>
      <c r="P7" s="30">
        <v>0</v>
      </c>
      <c r="Q7" s="30">
        <v>0</v>
      </c>
      <c r="R7" s="30">
        <f t="shared" si="4"/>
        <v>0</v>
      </c>
      <c r="S7" s="5" t="e">
        <f t="shared" si="5"/>
        <v>#DIV/0!</v>
      </c>
      <c r="T7" s="31">
        <v>0</v>
      </c>
      <c r="U7" s="31">
        <v>0</v>
      </c>
      <c r="V7" s="31">
        <f t="shared" si="6"/>
        <v>0</v>
      </c>
      <c r="W7" s="19" t="e">
        <f t="shared" si="7"/>
        <v>#DIV/0!</v>
      </c>
      <c r="X7" s="22">
        <f t="shared" si="8"/>
        <v>2170.2199999999998</v>
      </c>
      <c r="Y7" s="22">
        <f t="shared" si="9"/>
        <v>2235.6999999999998</v>
      </c>
      <c r="Z7" s="22">
        <f t="shared" si="10"/>
        <v>-65.480000000000018</v>
      </c>
      <c r="AA7" s="23">
        <f t="shared" si="11"/>
        <v>-3.0172056289224144E-2</v>
      </c>
    </row>
    <row r="8" spans="1:27" x14ac:dyDescent="0.15">
      <c r="A8" s="8" t="s">
        <v>13</v>
      </c>
      <c r="B8" s="8" t="s">
        <v>23</v>
      </c>
      <c r="C8" s="8" t="s">
        <v>24</v>
      </c>
      <c r="D8" s="8" t="s">
        <v>8</v>
      </c>
      <c r="E8" s="9">
        <v>44900</v>
      </c>
      <c r="F8" s="9">
        <v>45282</v>
      </c>
      <c r="G8" s="67">
        <v>0.30437934999999999</v>
      </c>
      <c r="H8" s="28">
        <v>0</v>
      </c>
      <c r="I8" s="28">
        <v>2352.96</v>
      </c>
      <c r="J8" s="28">
        <f t="shared" si="0"/>
        <v>-2352.96</v>
      </c>
      <c r="K8" s="11" t="e">
        <f t="shared" si="1"/>
        <v>#DIV/0!</v>
      </c>
      <c r="L8" s="29">
        <v>0</v>
      </c>
      <c r="M8" s="29">
        <v>0</v>
      </c>
      <c r="N8" s="29">
        <f t="shared" si="2"/>
        <v>0</v>
      </c>
      <c r="O8" s="14" t="e">
        <f t="shared" si="3"/>
        <v>#DIV/0!</v>
      </c>
      <c r="P8" s="30">
        <v>0</v>
      </c>
      <c r="Q8" s="30">
        <v>0</v>
      </c>
      <c r="R8" s="30">
        <f t="shared" si="4"/>
        <v>0</v>
      </c>
      <c r="S8" s="5" t="e">
        <f t="shared" si="5"/>
        <v>#DIV/0!</v>
      </c>
      <c r="T8" s="31">
        <v>0</v>
      </c>
      <c r="U8" s="31">
        <v>0</v>
      </c>
      <c r="V8" s="31">
        <f t="shared" si="6"/>
        <v>0</v>
      </c>
      <c r="W8" s="19" t="e">
        <f t="shared" si="7"/>
        <v>#DIV/0!</v>
      </c>
      <c r="X8" s="22">
        <f t="shared" si="8"/>
        <v>0</v>
      </c>
      <c r="Y8" s="22">
        <f t="shared" si="9"/>
        <v>2352.96</v>
      </c>
      <c r="Z8" s="22">
        <f t="shared" si="10"/>
        <v>-2352.96</v>
      </c>
      <c r="AA8" s="23" t="e">
        <f t="shared" si="11"/>
        <v>#DIV/0!</v>
      </c>
    </row>
    <row r="9" spans="1:27" x14ac:dyDescent="0.15">
      <c r="A9" s="8" t="s">
        <v>13</v>
      </c>
      <c r="B9" s="8" t="s">
        <v>25</v>
      </c>
      <c r="C9" s="8" t="s">
        <v>26</v>
      </c>
      <c r="D9" s="8" t="s">
        <v>8</v>
      </c>
      <c r="E9" s="9">
        <v>44893</v>
      </c>
      <c r="F9" s="9">
        <v>45308</v>
      </c>
      <c r="G9" s="67">
        <v>0.27594748000000002</v>
      </c>
      <c r="H9" s="28">
        <v>10543.23</v>
      </c>
      <c r="I9" s="28">
        <v>9924.98</v>
      </c>
      <c r="J9" s="28">
        <f t="shared" si="0"/>
        <v>618.25</v>
      </c>
      <c r="K9" s="11">
        <f t="shared" si="1"/>
        <v>5.8639525079126606E-2</v>
      </c>
      <c r="L9" s="29">
        <v>0</v>
      </c>
      <c r="M9" s="29">
        <v>0</v>
      </c>
      <c r="N9" s="29">
        <f t="shared" si="2"/>
        <v>0</v>
      </c>
      <c r="O9" s="14" t="e">
        <f t="shared" si="3"/>
        <v>#DIV/0!</v>
      </c>
      <c r="P9" s="30">
        <v>0</v>
      </c>
      <c r="Q9" s="30">
        <v>0</v>
      </c>
      <c r="R9" s="30">
        <f t="shared" si="4"/>
        <v>0</v>
      </c>
      <c r="S9" s="5" t="e">
        <f t="shared" si="5"/>
        <v>#DIV/0!</v>
      </c>
      <c r="T9" s="31">
        <v>0</v>
      </c>
      <c r="U9" s="31">
        <v>0</v>
      </c>
      <c r="V9" s="31">
        <f t="shared" si="6"/>
        <v>0</v>
      </c>
      <c r="W9" s="19" t="e">
        <f t="shared" si="7"/>
        <v>#DIV/0!</v>
      </c>
      <c r="X9" s="22">
        <f t="shared" si="8"/>
        <v>10543.23</v>
      </c>
      <c r="Y9" s="22">
        <f t="shared" si="9"/>
        <v>9924.98</v>
      </c>
      <c r="Z9" s="22">
        <f t="shared" si="10"/>
        <v>618.25</v>
      </c>
      <c r="AA9" s="23">
        <f t="shared" si="11"/>
        <v>5.8639525079126606E-2</v>
      </c>
    </row>
    <row r="10" spans="1:27" x14ac:dyDescent="0.15">
      <c r="A10" s="8" t="s">
        <v>13</v>
      </c>
      <c r="B10" s="8" t="s">
        <v>27</v>
      </c>
      <c r="C10" s="8" t="s">
        <v>28</v>
      </c>
      <c r="D10" s="8" t="s">
        <v>8</v>
      </c>
      <c r="E10" s="9">
        <v>44893</v>
      </c>
      <c r="F10" s="9">
        <v>45308</v>
      </c>
      <c r="G10" s="67">
        <v>0.27592786000000002</v>
      </c>
      <c r="H10" s="28">
        <v>10543.23</v>
      </c>
      <c r="I10" s="28">
        <v>10833.01</v>
      </c>
      <c r="J10" s="28">
        <f t="shared" si="0"/>
        <v>-289.78000000000065</v>
      </c>
      <c r="K10" s="11">
        <f t="shared" si="1"/>
        <v>-2.7484935830860247E-2</v>
      </c>
      <c r="L10" s="29">
        <v>0</v>
      </c>
      <c r="M10" s="29">
        <v>0</v>
      </c>
      <c r="N10" s="29">
        <f t="shared" si="2"/>
        <v>0</v>
      </c>
      <c r="O10" s="14" t="e">
        <f t="shared" si="3"/>
        <v>#DIV/0!</v>
      </c>
      <c r="P10" s="30">
        <v>0</v>
      </c>
      <c r="Q10" s="30">
        <v>0</v>
      </c>
      <c r="R10" s="30">
        <f t="shared" si="4"/>
        <v>0</v>
      </c>
      <c r="S10" s="5" t="e">
        <f t="shared" si="5"/>
        <v>#DIV/0!</v>
      </c>
      <c r="T10" s="31">
        <v>0</v>
      </c>
      <c r="U10" s="31">
        <v>0</v>
      </c>
      <c r="V10" s="31">
        <f t="shared" si="6"/>
        <v>0</v>
      </c>
      <c r="W10" s="19" t="e">
        <f t="shared" si="7"/>
        <v>#DIV/0!</v>
      </c>
      <c r="X10" s="22">
        <f t="shared" si="8"/>
        <v>10543.23</v>
      </c>
      <c r="Y10" s="22">
        <f t="shared" si="9"/>
        <v>10833.01</v>
      </c>
      <c r="Z10" s="22">
        <f t="shared" si="10"/>
        <v>-289.78000000000065</v>
      </c>
      <c r="AA10" s="23">
        <f t="shared" si="11"/>
        <v>-2.7484935830860247E-2</v>
      </c>
    </row>
    <row r="11" spans="1:27" x14ac:dyDescent="0.15">
      <c r="A11" s="8" t="s">
        <v>13</v>
      </c>
      <c r="B11" s="8" t="s">
        <v>29</v>
      </c>
      <c r="C11" s="8" t="s">
        <v>30</v>
      </c>
      <c r="D11" s="8" t="s">
        <v>8</v>
      </c>
      <c r="E11" s="9">
        <v>44927</v>
      </c>
      <c r="F11" s="9">
        <v>45291</v>
      </c>
      <c r="G11" s="67">
        <v>0.26428977999999997</v>
      </c>
      <c r="H11" s="28">
        <v>1849.31</v>
      </c>
      <c r="I11" s="28">
        <v>1164.8900000000001</v>
      </c>
      <c r="J11" s="28">
        <f t="shared" si="0"/>
        <v>684.41999999999985</v>
      </c>
      <c r="K11" s="11">
        <f t="shared" si="1"/>
        <v>0.37009479211165236</v>
      </c>
      <c r="L11" s="29">
        <v>0</v>
      </c>
      <c r="M11" s="29">
        <v>0</v>
      </c>
      <c r="N11" s="29">
        <f t="shared" si="2"/>
        <v>0</v>
      </c>
      <c r="O11" s="14" t="e">
        <f t="shared" si="3"/>
        <v>#DIV/0!</v>
      </c>
      <c r="P11" s="30">
        <v>0</v>
      </c>
      <c r="Q11" s="30">
        <v>0</v>
      </c>
      <c r="R11" s="30">
        <f t="shared" si="4"/>
        <v>0</v>
      </c>
      <c r="S11" s="5" t="e">
        <f t="shared" si="5"/>
        <v>#DIV/0!</v>
      </c>
      <c r="T11" s="31">
        <v>0</v>
      </c>
      <c r="U11" s="31">
        <v>0</v>
      </c>
      <c r="V11" s="31">
        <f t="shared" si="6"/>
        <v>0</v>
      </c>
      <c r="W11" s="19" t="e">
        <f t="shared" si="7"/>
        <v>#DIV/0!</v>
      </c>
      <c r="X11" s="22">
        <f t="shared" si="8"/>
        <v>1849.31</v>
      </c>
      <c r="Y11" s="22">
        <f t="shared" si="9"/>
        <v>1164.8900000000001</v>
      </c>
      <c r="Z11" s="22">
        <f t="shared" si="10"/>
        <v>684.41999999999985</v>
      </c>
      <c r="AA11" s="23">
        <f t="shared" si="11"/>
        <v>0.37009479211165236</v>
      </c>
    </row>
    <row r="12" spans="1:27" x14ac:dyDescent="0.15">
      <c r="A12" s="8" t="s">
        <v>13</v>
      </c>
      <c r="B12" s="8" t="s">
        <v>32</v>
      </c>
      <c r="C12" s="8" t="s">
        <v>33</v>
      </c>
      <c r="D12" s="8" t="s">
        <v>8</v>
      </c>
      <c r="E12" s="9">
        <v>44907</v>
      </c>
      <c r="F12" s="9">
        <v>45291</v>
      </c>
      <c r="G12" s="67">
        <v>0.20686869999999999</v>
      </c>
      <c r="H12" s="28">
        <v>0</v>
      </c>
      <c r="I12" s="28">
        <v>5142.5600000000004</v>
      </c>
      <c r="J12" s="28">
        <f t="shared" si="0"/>
        <v>-5142.5600000000004</v>
      </c>
      <c r="K12" s="11" t="e">
        <f t="shared" si="1"/>
        <v>#DIV/0!</v>
      </c>
      <c r="L12" s="29">
        <v>0</v>
      </c>
      <c r="M12" s="29">
        <v>0</v>
      </c>
      <c r="N12" s="29">
        <f t="shared" si="2"/>
        <v>0</v>
      </c>
      <c r="O12" s="14" t="e">
        <f t="shared" si="3"/>
        <v>#DIV/0!</v>
      </c>
      <c r="P12" s="30">
        <v>0</v>
      </c>
      <c r="Q12" s="30">
        <v>0</v>
      </c>
      <c r="R12" s="30">
        <f t="shared" si="4"/>
        <v>0</v>
      </c>
      <c r="S12" s="5" t="e">
        <f t="shared" si="5"/>
        <v>#DIV/0!</v>
      </c>
      <c r="T12" s="31">
        <v>0</v>
      </c>
      <c r="U12" s="31">
        <v>0</v>
      </c>
      <c r="V12" s="31">
        <f t="shared" si="6"/>
        <v>0</v>
      </c>
      <c r="W12" s="19" t="e">
        <f t="shared" si="7"/>
        <v>#DIV/0!</v>
      </c>
      <c r="X12" s="22">
        <f t="shared" si="8"/>
        <v>0</v>
      </c>
      <c r="Y12" s="22">
        <f t="shared" si="9"/>
        <v>5142.5600000000004</v>
      </c>
      <c r="Z12" s="22">
        <f t="shared" si="10"/>
        <v>-5142.5600000000004</v>
      </c>
      <c r="AA12" s="23" t="e">
        <f t="shared" si="11"/>
        <v>#DIV/0!</v>
      </c>
    </row>
    <row r="13" spans="1:27" x14ac:dyDescent="0.15">
      <c r="A13" s="8" t="s">
        <v>13</v>
      </c>
      <c r="B13" s="8" t="s">
        <v>34</v>
      </c>
      <c r="C13" s="8" t="s">
        <v>35</v>
      </c>
      <c r="D13" s="8" t="s">
        <v>8</v>
      </c>
      <c r="E13" s="9">
        <v>44942</v>
      </c>
      <c r="F13" s="9">
        <v>44981</v>
      </c>
      <c r="G13" s="67">
        <v>0</v>
      </c>
      <c r="H13" s="28">
        <v>0</v>
      </c>
      <c r="I13" s="28">
        <v>0</v>
      </c>
      <c r="J13" s="28">
        <f t="shared" si="0"/>
        <v>0</v>
      </c>
      <c r="K13" s="11" t="e">
        <f t="shared" si="1"/>
        <v>#DIV/0!</v>
      </c>
      <c r="L13" s="29">
        <v>0</v>
      </c>
      <c r="M13" s="29">
        <v>0</v>
      </c>
      <c r="N13" s="29">
        <f t="shared" si="2"/>
        <v>0</v>
      </c>
      <c r="O13" s="14" t="e">
        <f t="shared" si="3"/>
        <v>#DIV/0!</v>
      </c>
      <c r="P13" s="30">
        <v>0</v>
      </c>
      <c r="Q13" s="30">
        <v>0</v>
      </c>
      <c r="R13" s="30">
        <f t="shared" si="4"/>
        <v>0</v>
      </c>
      <c r="S13" s="5" t="e">
        <f t="shared" si="5"/>
        <v>#DIV/0!</v>
      </c>
      <c r="T13" s="31">
        <v>0</v>
      </c>
      <c r="U13" s="31">
        <v>0</v>
      </c>
      <c r="V13" s="31">
        <f t="shared" si="6"/>
        <v>0</v>
      </c>
      <c r="W13" s="19" t="e">
        <f t="shared" si="7"/>
        <v>#DIV/0!</v>
      </c>
      <c r="X13" s="22">
        <f t="shared" si="8"/>
        <v>0</v>
      </c>
      <c r="Y13" s="22">
        <f t="shared" si="9"/>
        <v>0</v>
      </c>
      <c r="Z13" s="22">
        <f t="shared" si="10"/>
        <v>0</v>
      </c>
      <c r="AA13" s="23" t="e">
        <f t="shared" si="11"/>
        <v>#DIV/0!</v>
      </c>
    </row>
    <row r="14" spans="1:27" x14ac:dyDescent="0.15">
      <c r="A14" s="8" t="s">
        <v>13</v>
      </c>
      <c r="B14" s="8" t="s">
        <v>36</v>
      </c>
      <c r="C14" s="8" t="s">
        <v>35</v>
      </c>
      <c r="D14" s="8" t="s">
        <v>8</v>
      </c>
      <c r="E14" s="9">
        <v>44942</v>
      </c>
      <c r="F14" s="9">
        <v>45565</v>
      </c>
      <c r="G14" s="67">
        <v>0.30990794999999999</v>
      </c>
      <c r="H14" s="28">
        <v>0</v>
      </c>
      <c r="I14" s="28">
        <v>147344.34</v>
      </c>
      <c r="J14" s="28">
        <f t="shared" si="0"/>
        <v>-147344.34</v>
      </c>
      <c r="K14" s="11" t="e">
        <f t="shared" si="1"/>
        <v>#DIV/0!</v>
      </c>
      <c r="L14" s="29">
        <v>0</v>
      </c>
      <c r="M14" s="29">
        <v>-18794</v>
      </c>
      <c r="N14" s="29">
        <f t="shared" si="2"/>
        <v>18794</v>
      </c>
      <c r="O14" s="14" t="e">
        <f t="shared" si="3"/>
        <v>#DIV/0!</v>
      </c>
      <c r="P14" s="30">
        <v>0</v>
      </c>
      <c r="Q14" s="30">
        <v>60109.42</v>
      </c>
      <c r="R14" s="30">
        <f t="shared" si="4"/>
        <v>-60109.42</v>
      </c>
      <c r="S14" s="5" t="e">
        <f t="shared" si="5"/>
        <v>#DIV/0!</v>
      </c>
      <c r="T14" s="31">
        <v>0</v>
      </c>
      <c r="U14" s="31">
        <v>803.86</v>
      </c>
      <c r="V14" s="31">
        <f t="shared" si="6"/>
        <v>-803.86</v>
      </c>
      <c r="W14" s="19" t="e">
        <f t="shared" si="7"/>
        <v>#DIV/0!</v>
      </c>
      <c r="X14" s="22">
        <f t="shared" si="8"/>
        <v>0</v>
      </c>
      <c r="Y14" s="22">
        <f t="shared" si="9"/>
        <v>189463.62</v>
      </c>
      <c r="Z14" s="22">
        <f t="shared" si="10"/>
        <v>-189463.62</v>
      </c>
      <c r="AA14" s="23" t="e">
        <f t="shared" si="11"/>
        <v>#DIV/0!</v>
      </c>
    </row>
    <row r="15" spans="1:27" x14ac:dyDescent="0.15">
      <c r="A15" s="8" t="s">
        <v>13</v>
      </c>
      <c r="B15" s="8" t="s">
        <v>37</v>
      </c>
      <c r="C15" s="8" t="s">
        <v>38</v>
      </c>
      <c r="D15" s="8" t="s">
        <v>8</v>
      </c>
      <c r="E15" s="9">
        <v>45016</v>
      </c>
      <c r="F15" s="9">
        <v>45412</v>
      </c>
      <c r="G15" s="67">
        <v>0.29885215999999998</v>
      </c>
      <c r="H15" s="28">
        <v>0</v>
      </c>
      <c r="I15" s="28">
        <v>32727.63</v>
      </c>
      <c r="J15" s="28">
        <f t="shared" si="0"/>
        <v>-32727.63</v>
      </c>
      <c r="K15" s="11" t="e">
        <f t="shared" si="1"/>
        <v>#DIV/0!</v>
      </c>
      <c r="L15" s="29">
        <v>0</v>
      </c>
      <c r="M15" s="29">
        <v>3073.57</v>
      </c>
      <c r="N15" s="29">
        <f t="shared" si="2"/>
        <v>-3073.57</v>
      </c>
      <c r="O15" s="14" t="e">
        <f t="shared" si="3"/>
        <v>#DIV/0!</v>
      </c>
      <c r="P15" s="30">
        <v>0</v>
      </c>
      <c r="Q15" s="30">
        <v>0</v>
      </c>
      <c r="R15" s="30">
        <f t="shared" si="4"/>
        <v>0</v>
      </c>
      <c r="S15" s="5" t="e">
        <f t="shared" si="5"/>
        <v>#DIV/0!</v>
      </c>
      <c r="T15" s="31">
        <v>0</v>
      </c>
      <c r="U15" s="31">
        <v>0</v>
      </c>
      <c r="V15" s="31">
        <f t="shared" si="6"/>
        <v>0</v>
      </c>
      <c r="W15" s="19" t="e">
        <f t="shared" si="7"/>
        <v>#DIV/0!</v>
      </c>
      <c r="X15" s="22">
        <f t="shared" si="8"/>
        <v>0</v>
      </c>
      <c r="Y15" s="22">
        <f t="shared" si="9"/>
        <v>35801.200000000004</v>
      </c>
      <c r="Z15" s="22">
        <f t="shared" si="10"/>
        <v>-35801.200000000004</v>
      </c>
      <c r="AA15" s="23" t="e">
        <f t="shared" si="11"/>
        <v>#DIV/0!</v>
      </c>
    </row>
    <row r="16" spans="1:27" x14ac:dyDescent="0.15">
      <c r="A16" s="8" t="s">
        <v>13</v>
      </c>
      <c r="B16" s="8" t="s">
        <v>39</v>
      </c>
      <c r="C16" s="8" t="s">
        <v>40</v>
      </c>
      <c r="D16" s="8" t="s">
        <v>8</v>
      </c>
      <c r="E16" s="9">
        <v>45000</v>
      </c>
      <c r="F16" s="9">
        <v>45473</v>
      </c>
      <c r="G16" s="67">
        <v>0.28841622</v>
      </c>
      <c r="H16" s="28">
        <v>-85.96</v>
      </c>
      <c r="I16" s="28">
        <v>382.47</v>
      </c>
      <c r="J16" s="28">
        <f t="shared" si="0"/>
        <v>-468.43</v>
      </c>
      <c r="K16" s="11">
        <f t="shared" si="1"/>
        <v>5.4493950674732439</v>
      </c>
      <c r="L16" s="29">
        <v>0</v>
      </c>
      <c r="M16" s="29">
        <v>191.89</v>
      </c>
      <c r="N16" s="29">
        <f t="shared" si="2"/>
        <v>-191.89</v>
      </c>
      <c r="O16" s="14" t="e">
        <f t="shared" si="3"/>
        <v>#DIV/0!</v>
      </c>
      <c r="P16" s="30">
        <v>0</v>
      </c>
      <c r="Q16" s="30">
        <v>132.71</v>
      </c>
      <c r="R16" s="30">
        <f t="shared" si="4"/>
        <v>-132.71</v>
      </c>
      <c r="S16" s="5" t="e">
        <f t="shared" si="5"/>
        <v>#DIV/0!</v>
      </c>
      <c r="T16" s="31">
        <v>0</v>
      </c>
      <c r="U16" s="31">
        <v>0</v>
      </c>
      <c r="V16" s="31">
        <f t="shared" si="6"/>
        <v>0</v>
      </c>
      <c r="W16" s="19" t="e">
        <f t="shared" si="7"/>
        <v>#DIV/0!</v>
      </c>
      <c r="X16" s="22">
        <f t="shared" si="8"/>
        <v>-85.96</v>
      </c>
      <c r="Y16" s="22">
        <f t="shared" si="9"/>
        <v>707.07</v>
      </c>
      <c r="Z16" s="22">
        <f t="shared" si="10"/>
        <v>-793.03000000000009</v>
      </c>
      <c r="AA16" s="23">
        <f t="shared" si="11"/>
        <v>9.225570032573291</v>
      </c>
    </row>
    <row r="17" spans="1:28" x14ac:dyDescent="0.15">
      <c r="A17" s="8" t="s">
        <v>13</v>
      </c>
      <c r="B17" s="8" t="s">
        <v>41</v>
      </c>
      <c r="C17" s="8" t="s">
        <v>42</v>
      </c>
      <c r="D17" s="8" t="s">
        <v>10</v>
      </c>
      <c r="E17" s="9">
        <v>45047</v>
      </c>
      <c r="F17" s="9">
        <v>45656</v>
      </c>
      <c r="G17" s="67">
        <v>0.24421480000000001</v>
      </c>
      <c r="H17" s="28">
        <v>136356.99</v>
      </c>
      <c r="I17" s="28">
        <v>107292.34</v>
      </c>
      <c r="J17" s="28">
        <f t="shared" si="0"/>
        <v>29064.649999999994</v>
      </c>
      <c r="K17" s="11">
        <f t="shared" si="1"/>
        <v>0.2131511556539932</v>
      </c>
      <c r="L17" s="29">
        <v>62199.75</v>
      </c>
      <c r="M17" s="29">
        <v>192188.18</v>
      </c>
      <c r="N17" s="29">
        <f t="shared" si="2"/>
        <v>-129988.43</v>
      </c>
      <c r="O17" s="14">
        <f t="shared" si="3"/>
        <v>-2.0898545412160017</v>
      </c>
      <c r="P17" s="30">
        <v>22027.97</v>
      </c>
      <c r="Q17" s="30">
        <v>30034.94</v>
      </c>
      <c r="R17" s="30">
        <f t="shared" si="4"/>
        <v>-8006.9699999999975</v>
      </c>
      <c r="S17" s="5">
        <f t="shared" si="5"/>
        <v>-0.36349105251187452</v>
      </c>
      <c r="T17" s="31">
        <v>33041.96</v>
      </c>
      <c r="U17" s="31">
        <v>34660.19</v>
      </c>
      <c r="V17" s="31">
        <f t="shared" si="6"/>
        <v>-1618.2300000000032</v>
      </c>
      <c r="W17" s="19">
        <f t="shared" si="7"/>
        <v>-4.8975000272381032E-2</v>
      </c>
      <c r="X17" s="22">
        <f t="shared" si="8"/>
        <v>253626.66999999998</v>
      </c>
      <c r="Y17" s="22">
        <f t="shared" si="9"/>
        <v>364175.65</v>
      </c>
      <c r="Z17" s="22">
        <f t="shared" si="10"/>
        <v>-110548.98000000004</v>
      </c>
      <c r="AA17" s="23">
        <f t="shared" si="11"/>
        <v>-0.43587285201512938</v>
      </c>
    </row>
    <row r="18" spans="1:28" x14ac:dyDescent="0.15">
      <c r="A18" s="8" t="s">
        <v>13</v>
      </c>
      <c r="B18" s="8" t="s">
        <v>43</v>
      </c>
      <c r="C18" s="8" t="s">
        <v>44</v>
      </c>
      <c r="D18" s="8" t="s">
        <v>8</v>
      </c>
      <c r="E18" s="9">
        <v>45047</v>
      </c>
      <c r="F18" s="9">
        <v>45291</v>
      </c>
      <c r="G18" s="67">
        <v>0.29742952</v>
      </c>
      <c r="H18" s="28">
        <v>3393.09</v>
      </c>
      <c r="I18" s="28">
        <v>15484.19</v>
      </c>
      <c r="J18" s="28">
        <f t="shared" si="0"/>
        <v>-12091.1</v>
      </c>
      <c r="K18" s="11">
        <f t="shared" si="1"/>
        <v>-3.5634480665116457</v>
      </c>
      <c r="L18" s="29">
        <v>0</v>
      </c>
      <c r="M18" s="29">
        <v>0</v>
      </c>
      <c r="N18" s="29">
        <f t="shared" si="2"/>
        <v>0</v>
      </c>
      <c r="O18" s="14" t="e">
        <f t="shared" si="3"/>
        <v>#DIV/0!</v>
      </c>
      <c r="P18" s="30">
        <v>0</v>
      </c>
      <c r="Q18" s="30">
        <v>0</v>
      </c>
      <c r="R18" s="30">
        <f t="shared" si="4"/>
        <v>0</v>
      </c>
      <c r="S18" s="5" t="e">
        <f t="shared" si="5"/>
        <v>#DIV/0!</v>
      </c>
      <c r="T18" s="31">
        <v>0</v>
      </c>
      <c r="U18" s="31">
        <v>0</v>
      </c>
      <c r="V18" s="31">
        <f t="shared" si="6"/>
        <v>0</v>
      </c>
      <c r="W18" s="19" t="e">
        <f t="shared" si="7"/>
        <v>#DIV/0!</v>
      </c>
      <c r="X18" s="22">
        <f t="shared" si="8"/>
        <v>3393.09</v>
      </c>
      <c r="Y18" s="22">
        <f t="shared" si="9"/>
        <v>15484.19</v>
      </c>
      <c r="Z18" s="22">
        <f t="shared" si="10"/>
        <v>-12091.1</v>
      </c>
      <c r="AA18" s="23">
        <f t="shared" si="11"/>
        <v>-3.5634480665116457</v>
      </c>
    </row>
    <row r="19" spans="1:28" x14ac:dyDescent="0.15">
      <c r="A19" s="8" t="s">
        <v>13</v>
      </c>
      <c r="B19" s="8" t="s">
        <v>45</v>
      </c>
      <c r="C19" s="8" t="s">
        <v>46</v>
      </c>
      <c r="D19" s="8" t="s">
        <v>10</v>
      </c>
      <c r="E19" s="9">
        <v>45151</v>
      </c>
      <c r="F19" s="9">
        <v>45835</v>
      </c>
      <c r="G19" s="67">
        <v>0.19825738000000001</v>
      </c>
      <c r="H19" s="28">
        <v>194469.77</v>
      </c>
      <c r="I19" s="28">
        <v>133033.59</v>
      </c>
      <c r="J19" s="28">
        <f t="shared" si="0"/>
        <v>61436.179999999993</v>
      </c>
      <c r="K19" s="11">
        <f t="shared" si="1"/>
        <v>0.31591635039214577</v>
      </c>
      <c r="L19" s="29">
        <v>299892.5</v>
      </c>
      <c r="M19" s="29">
        <v>271478.59000000003</v>
      </c>
      <c r="N19" s="29">
        <f t="shared" si="2"/>
        <v>28413.909999999974</v>
      </c>
      <c r="O19" s="14">
        <f t="shared" si="3"/>
        <v>9.4746984336053663E-2</v>
      </c>
      <c r="P19" s="30">
        <v>177783.04000000001</v>
      </c>
      <c r="Q19" s="30">
        <v>296184.61</v>
      </c>
      <c r="R19" s="30">
        <f t="shared" si="4"/>
        <v>-118401.56999999998</v>
      </c>
      <c r="S19" s="5">
        <f t="shared" si="5"/>
        <v>-0.66598911797210791</v>
      </c>
      <c r="T19" s="31">
        <v>-27363.74</v>
      </c>
      <c r="U19" s="31">
        <v>29012.74</v>
      </c>
      <c r="V19" s="31">
        <f t="shared" si="6"/>
        <v>-56376.480000000003</v>
      </c>
      <c r="W19" s="19">
        <f t="shared" si="7"/>
        <v>2.0602622302360714</v>
      </c>
      <c r="X19" s="22">
        <f t="shared" si="8"/>
        <v>644781.57000000007</v>
      </c>
      <c r="Y19" s="22">
        <f t="shared" si="9"/>
        <v>729709.53</v>
      </c>
      <c r="Z19" s="22">
        <f t="shared" si="10"/>
        <v>-84927.959999999963</v>
      </c>
      <c r="AA19" s="23">
        <f t="shared" si="11"/>
        <v>-0.13171586154362314</v>
      </c>
    </row>
    <row r="20" spans="1:28" x14ac:dyDescent="0.15">
      <c r="A20" s="8" t="s">
        <v>13</v>
      </c>
      <c r="B20" s="8" t="s">
        <v>47</v>
      </c>
      <c r="C20" s="8" t="s">
        <v>48</v>
      </c>
      <c r="D20" s="8" t="s">
        <v>8</v>
      </c>
      <c r="E20" s="9">
        <v>45187</v>
      </c>
      <c r="F20" s="9">
        <v>45504</v>
      </c>
      <c r="G20" s="67">
        <v>0.27138632000000001</v>
      </c>
      <c r="H20" s="28">
        <v>125391.52</v>
      </c>
      <c r="I20" s="28">
        <v>212866.56</v>
      </c>
      <c r="J20" s="28">
        <f t="shared" si="0"/>
        <v>-87475.04</v>
      </c>
      <c r="K20" s="11">
        <f t="shared" si="1"/>
        <v>-0.6976152773329487</v>
      </c>
      <c r="L20" s="29">
        <v>128812.1</v>
      </c>
      <c r="M20" s="29">
        <v>124688.59</v>
      </c>
      <c r="N20" s="29">
        <f t="shared" si="2"/>
        <v>4123.5100000000093</v>
      </c>
      <c r="O20" s="14">
        <f t="shared" si="3"/>
        <v>3.2011821870771527E-2</v>
      </c>
      <c r="P20" s="30">
        <v>59568.2</v>
      </c>
      <c r="Q20" s="30">
        <v>33246.589999999997</v>
      </c>
      <c r="R20" s="30">
        <f t="shared" si="4"/>
        <v>26321.61</v>
      </c>
      <c r="S20" s="5">
        <f t="shared" si="5"/>
        <v>0.44187351640640476</v>
      </c>
      <c r="T20" s="31">
        <v>0</v>
      </c>
      <c r="U20" s="31">
        <v>0</v>
      </c>
      <c r="V20" s="31">
        <f t="shared" si="6"/>
        <v>0</v>
      </c>
      <c r="W20" s="19" t="e">
        <f t="shared" si="7"/>
        <v>#DIV/0!</v>
      </c>
      <c r="X20" s="22">
        <f t="shared" si="8"/>
        <v>313771.82</v>
      </c>
      <c r="Y20" s="22">
        <f t="shared" si="9"/>
        <v>370801.74</v>
      </c>
      <c r="Z20" s="22">
        <f t="shared" si="10"/>
        <v>-57029.919999999984</v>
      </c>
      <c r="AA20" s="23">
        <f t="shared" si="11"/>
        <v>-0.18175602895122953</v>
      </c>
    </row>
    <row r="21" spans="1:28" x14ac:dyDescent="0.15">
      <c r="A21" s="8" t="s">
        <v>13</v>
      </c>
      <c r="B21" s="8" t="s">
        <v>49</v>
      </c>
      <c r="C21" s="8" t="s">
        <v>50</v>
      </c>
      <c r="D21" s="8" t="s">
        <v>10</v>
      </c>
      <c r="E21" s="9">
        <v>45245</v>
      </c>
      <c r="F21" s="9">
        <v>45869</v>
      </c>
      <c r="G21" s="67">
        <v>0.19586316000000001</v>
      </c>
      <c r="H21" s="28">
        <v>159678.82999999999</v>
      </c>
      <c r="I21" s="28">
        <v>134308.10999999999</v>
      </c>
      <c r="J21" s="28">
        <f t="shared" si="0"/>
        <v>25370.720000000001</v>
      </c>
      <c r="K21" s="11">
        <f t="shared" si="1"/>
        <v>0.15888593372083201</v>
      </c>
      <c r="L21" s="29">
        <v>150791.46</v>
      </c>
      <c r="M21" s="29">
        <v>125008.54</v>
      </c>
      <c r="N21" s="29">
        <f t="shared" si="2"/>
        <v>25782.92</v>
      </c>
      <c r="O21" s="14">
        <f t="shared" si="3"/>
        <v>0.17098395360055535</v>
      </c>
      <c r="P21" s="30">
        <v>103340.66</v>
      </c>
      <c r="Q21" s="30">
        <v>79808.37</v>
      </c>
      <c r="R21" s="30">
        <f t="shared" si="4"/>
        <v>23532.290000000008</v>
      </c>
      <c r="S21" s="5">
        <f t="shared" si="5"/>
        <v>0.22771569293248184</v>
      </c>
      <c r="T21" s="31">
        <v>44010.48</v>
      </c>
      <c r="U21" s="31">
        <v>49812.45</v>
      </c>
      <c r="V21" s="31">
        <f t="shared" si="6"/>
        <v>-5801.9699999999939</v>
      </c>
      <c r="W21" s="19">
        <f t="shared" si="7"/>
        <v>-0.1318315546660703</v>
      </c>
      <c r="X21" s="22">
        <f t="shared" si="8"/>
        <v>457821.42999999993</v>
      </c>
      <c r="Y21" s="22">
        <f t="shared" si="9"/>
        <v>388937.47</v>
      </c>
      <c r="Z21" s="22">
        <f t="shared" si="10"/>
        <v>68883.959999999963</v>
      </c>
      <c r="AA21" s="23">
        <f t="shared" si="11"/>
        <v>0.1504603224886174</v>
      </c>
    </row>
    <row r="22" spans="1:28" x14ac:dyDescent="0.15">
      <c r="A22" s="8" t="s">
        <v>13</v>
      </c>
      <c r="B22" s="8" t="s">
        <v>51</v>
      </c>
      <c r="C22" s="8" t="s">
        <v>52</v>
      </c>
      <c r="D22" s="8" t="s">
        <v>8</v>
      </c>
      <c r="E22" s="9">
        <v>45292</v>
      </c>
      <c r="F22" s="9">
        <v>45596</v>
      </c>
      <c r="G22" s="67">
        <v>0.24240401</v>
      </c>
      <c r="H22" s="28">
        <v>134069</v>
      </c>
      <c r="I22" s="28">
        <v>102179.66</v>
      </c>
      <c r="J22" s="28">
        <f t="shared" si="0"/>
        <v>31889.339999999997</v>
      </c>
      <c r="K22" s="11">
        <f t="shared" si="1"/>
        <v>0.23785767030409713</v>
      </c>
      <c r="L22" s="29">
        <v>170734.84</v>
      </c>
      <c r="M22" s="29">
        <v>147243.20000000001</v>
      </c>
      <c r="N22" s="29">
        <f t="shared" si="2"/>
        <v>23491.639999999985</v>
      </c>
      <c r="O22" s="14">
        <f t="shared" si="3"/>
        <v>0.13759136682354922</v>
      </c>
      <c r="P22" s="30">
        <v>313529.90999999997</v>
      </c>
      <c r="Q22" s="30">
        <v>251224.93</v>
      </c>
      <c r="R22" s="30">
        <f t="shared" si="4"/>
        <v>62304.979999999981</v>
      </c>
      <c r="S22" s="5">
        <f t="shared" si="5"/>
        <v>0.19872100878668955</v>
      </c>
      <c r="T22" s="31">
        <v>197745.85</v>
      </c>
      <c r="U22" s="31">
        <v>116578.14</v>
      </c>
      <c r="V22" s="31">
        <f t="shared" si="6"/>
        <v>81167.710000000006</v>
      </c>
      <c r="W22" s="19">
        <f t="shared" si="7"/>
        <v>0.41046479610065145</v>
      </c>
      <c r="X22" s="22">
        <f t="shared" si="8"/>
        <v>816079.6</v>
      </c>
      <c r="Y22" s="22">
        <f t="shared" si="9"/>
        <v>617225.93000000005</v>
      </c>
      <c r="Z22" s="22">
        <f t="shared" si="10"/>
        <v>198853.66999999993</v>
      </c>
      <c r="AA22" s="23">
        <f t="shared" si="11"/>
        <v>0.24366945332293558</v>
      </c>
    </row>
    <row r="23" spans="1:28" s="2" customFormat="1" ht="14" x14ac:dyDescent="0.2">
      <c r="A23" s="8" t="s">
        <v>13</v>
      </c>
      <c r="B23" s="8" t="s">
        <v>53</v>
      </c>
      <c r="C23" s="8" t="s">
        <v>54</v>
      </c>
      <c r="D23" s="8" t="s">
        <v>10</v>
      </c>
      <c r="E23" s="9">
        <v>45243</v>
      </c>
      <c r="F23" s="9">
        <v>45656</v>
      </c>
      <c r="G23" s="67">
        <v>0.22407951000000001</v>
      </c>
      <c r="H23" s="28">
        <v>139713.10999999999</v>
      </c>
      <c r="I23" s="28">
        <v>120981.46</v>
      </c>
      <c r="J23" s="28">
        <f t="shared" si="0"/>
        <v>18731.64999999998</v>
      </c>
      <c r="K23" s="11">
        <f t="shared" si="1"/>
        <v>0.13407224275517152</v>
      </c>
      <c r="L23" s="29">
        <v>198198.01</v>
      </c>
      <c r="M23" s="29">
        <v>162929.81</v>
      </c>
      <c r="N23" s="29">
        <f t="shared" si="2"/>
        <v>35268.200000000012</v>
      </c>
      <c r="O23" s="14">
        <f t="shared" si="3"/>
        <v>0.1779442689661718</v>
      </c>
      <c r="P23" s="30">
        <v>308248.90000000002</v>
      </c>
      <c r="Q23" s="30">
        <v>215982.63</v>
      </c>
      <c r="R23" s="30">
        <f t="shared" si="4"/>
        <v>92266.270000000019</v>
      </c>
      <c r="S23" s="5">
        <f t="shared" si="5"/>
        <v>0.29932392297263677</v>
      </c>
      <c r="T23" s="31">
        <v>484565.05</v>
      </c>
      <c r="U23" s="31">
        <v>383565.68</v>
      </c>
      <c r="V23" s="31">
        <f t="shared" si="6"/>
        <v>100999.37</v>
      </c>
      <c r="W23" s="19">
        <f t="shared" si="7"/>
        <v>0.2084330473277014</v>
      </c>
      <c r="X23" s="22">
        <f t="shared" si="8"/>
        <v>1130725.07</v>
      </c>
      <c r="Y23" s="22">
        <f t="shared" si="9"/>
        <v>883459.58000000007</v>
      </c>
      <c r="Z23" s="22">
        <f t="shared" si="10"/>
        <v>247265.49</v>
      </c>
      <c r="AA23" s="23">
        <f t="shared" si="11"/>
        <v>0.21867870144596685</v>
      </c>
      <c r="AB23"/>
    </row>
    <row r="24" spans="1:28" s="2" customFormat="1" ht="14" x14ac:dyDescent="0.2">
      <c r="A24" s="32" t="s">
        <v>13</v>
      </c>
      <c r="B24" s="32" t="s">
        <v>55</v>
      </c>
      <c r="C24" s="32" t="s">
        <v>56</v>
      </c>
      <c r="D24" s="32" t="s">
        <v>8</v>
      </c>
      <c r="E24" s="33">
        <v>45292</v>
      </c>
      <c r="F24" s="33">
        <v>45596</v>
      </c>
      <c r="G24" s="67">
        <v>0.25703856000000003</v>
      </c>
      <c r="H24" s="28">
        <v>107233</v>
      </c>
      <c r="I24" s="28">
        <v>85092.01</v>
      </c>
      <c r="J24" s="28">
        <f t="shared" ref="J24:J37" si="12">H24-I24</f>
        <v>22140.990000000005</v>
      </c>
      <c r="K24" s="11">
        <f t="shared" ref="K24:K37" si="13">J24/H24*100%</f>
        <v>0.20647552525808291</v>
      </c>
      <c r="L24" s="29">
        <v>138693.17000000001</v>
      </c>
      <c r="M24" s="29">
        <v>111041.21</v>
      </c>
      <c r="N24" s="29">
        <f t="shared" ref="N24:N37" si="14">L24-M24</f>
        <v>27651.960000000006</v>
      </c>
      <c r="O24" s="14">
        <f t="shared" ref="O24:O37" si="15">N24/L24*100%</f>
        <v>0.19937506655879308</v>
      </c>
      <c r="P24" s="30">
        <v>267938.95</v>
      </c>
      <c r="Q24" s="30">
        <v>183431.72</v>
      </c>
      <c r="R24" s="30">
        <f t="shared" ref="R24:R44" si="16">P24-Q24</f>
        <v>84507.23000000001</v>
      </c>
      <c r="S24" s="5">
        <f t="shared" ref="S24:S44" si="17">R24/P24*100%</f>
        <v>0.31539733211614068</v>
      </c>
      <c r="T24" s="31">
        <v>158664.95999999999</v>
      </c>
      <c r="U24" s="31">
        <v>123128.65</v>
      </c>
      <c r="V24" s="31">
        <f t="shared" si="6"/>
        <v>35536.31</v>
      </c>
      <c r="W24" s="19">
        <f t="shared" si="7"/>
        <v>0.22397074943327122</v>
      </c>
      <c r="X24" s="22">
        <f t="shared" si="8"/>
        <v>672530.08</v>
      </c>
      <c r="Y24" s="22">
        <f t="shared" si="9"/>
        <v>502693.58999999997</v>
      </c>
      <c r="Z24" s="22">
        <f t="shared" si="10"/>
        <v>169836.49</v>
      </c>
      <c r="AA24" s="23">
        <f t="shared" si="11"/>
        <v>0.2525336710589956</v>
      </c>
      <c r="AB24"/>
    </row>
    <row r="25" spans="1:28" s="2" customFormat="1" ht="14" x14ac:dyDescent="0.2">
      <c r="A25" s="32" t="s">
        <v>13</v>
      </c>
      <c r="B25" s="32" t="s">
        <v>57</v>
      </c>
      <c r="C25" s="32" t="s">
        <v>58</v>
      </c>
      <c r="D25" s="32" t="s">
        <v>10</v>
      </c>
      <c r="E25" s="33">
        <v>45250</v>
      </c>
      <c r="F25" s="33">
        <v>45657</v>
      </c>
      <c r="G25" s="67">
        <v>0.22724077000000001</v>
      </c>
      <c r="H25" s="28">
        <v>155597</v>
      </c>
      <c r="I25" s="28">
        <v>124226.46</v>
      </c>
      <c r="J25" s="28">
        <f t="shared" si="12"/>
        <v>31370.539999999994</v>
      </c>
      <c r="K25" s="11">
        <f t="shared" si="13"/>
        <v>0.20161404140182648</v>
      </c>
      <c r="L25" s="29">
        <v>206872.14</v>
      </c>
      <c r="M25" s="29">
        <v>163923.47</v>
      </c>
      <c r="N25" s="29">
        <f t="shared" si="14"/>
        <v>42948.670000000013</v>
      </c>
      <c r="O25" s="14">
        <f t="shared" si="15"/>
        <v>0.20760973420587234</v>
      </c>
      <c r="P25" s="30">
        <v>206672.6</v>
      </c>
      <c r="Q25" s="30">
        <v>143613.01</v>
      </c>
      <c r="R25" s="30">
        <f t="shared" si="16"/>
        <v>63059.59</v>
      </c>
      <c r="S25" s="5">
        <f t="shared" si="17"/>
        <v>0.30511828853945805</v>
      </c>
      <c r="T25" s="31">
        <v>245910.08</v>
      </c>
      <c r="U25" s="31">
        <v>187391.79</v>
      </c>
      <c r="V25" s="31">
        <f t="shared" si="6"/>
        <v>58518.289999999979</v>
      </c>
      <c r="W25" s="19">
        <f t="shared" si="7"/>
        <v>0.23796621106381644</v>
      </c>
      <c r="X25" s="22">
        <f t="shared" si="8"/>
        <v>815051.82</v>
      </c>
      <c r="Y25" s="22">
        <f t="shared" si="9"/>
        <v>619154.73</v>
      </c>
      <c r="Z25" s="22">
        <f t="shared" si="10"/>
        <v>195897.08999999997</v>
      </c>
      <c r="AA25" s="23">
        <f t="shared" si="11"/>
        <v>0.2403492455240453</v>
      </c>
      <c r="AB25"/>
    </row>
    <row r="26" spans="1:28" s="2" customFormat="1" ht="14" x14ac:dyDescent="0.2">
      <c r="A26" s="32" t="s">
        <v>13</v>
      </c>
      <c r="B26" s="32" t="s">
        <v>59</v>
      </c>
      <c r="C26" s="32" t="s">
        <v>60</v>
      </c>
      <c r="D26" s="32" t="s">
        <v>8</v>
      </c>
      <c r="E26" s="33">
        <v>45271</v>
      </c>
      <c r="F26" s="33">
        <v>45473</v>
      </c>
      <c r="G26" s="67">
        <v>0.24965084000000001</v>
      </c>
      <c r="H26" s="28">
        <v>100427.34</v>
      </c>
      <c r="I26" s="28">
        <v>79513.81</v>
      </c>
      <c r="J26" s="28">
        <f t="shared" si="12"/>
        <v>20913.53</v>
      </c>
      <c r="K26" s="11">
        <f t="shared" si="13"/>
        <v>0.20824538417526542</v>
      </c>
      <c r="L26" s="29">
        <v>50019</v>
      </c>
      <c r="M26" s="29">
        <v>38808.839999999997</v>
      </c>
      <c r="N26" s="29">
        <f t="shared" si="14"/>
        <v>11210.160000000003</v>
      </c>
      <c r="O26" s="14">
        <f t="shared" si="15"/>
        <v>0.22411803514664436</v>
      </c>
      <c r="P26" s="30">
        <v>0</v>
      </c>
      <c r="Q26" s="30">
        <v>50.06</v>
      </c>
      <c r="R26" s="30">
        <f t="shared" si="16"/>
        <v>-50.06</v>
      </c>
      <c r="S26" s="5" t="e">
        <f t="shared" si="17"/>
        <v>#DIV/0!</v>
      </c>
      <c r="T26" s="31">
        <v>0</v>
      </c>
      <c r="U26" s="31">
        <v>0</v>
      </c>
      <c r="V26" s="31">
        <f t="shared" si="6"/>
        <v>0</v>
      </c>
      <c r="W26" s="19" t="e">
        <f t="shared" si="7"/>
        <v>#DIV/0!</v>
      </c>
      <c r="X26" s="22">
        <f t="shared" si="8"/>
        <v>150446.34</v>
      </c>
      <c r="Y26" s="22">
        <f t="shared" si="9"/>
        <v>118372.70999999999</v>
      </c>
      <c r="Z26" s="22">
        <f t="shared" si="10"/>
        <v>32073.630000000005</v>
      </c>
      <c r="AA26" s="23">
        <f t="shared" si="11"/>
        <v>0.21318983233490429</v>
      </c>
      <c r="AB26"/>
    </row>
    <row r="27" spans="1:28" s="2" customFormat="1" ht="14" x14ac:dyDescent="0.2">
      <c r="A27" s="32" t="s">
        <v>13</v>
      </c>
      <c r="B27" s="32" t="s">
        <v>61</v>
      </c>
      <c r="C27" s="32" t="s">
        <v>62</v>
      </c>
      <c r="D27" s="32" t="s">
        <v>10</v>
      </c>
      <c r="E27" s="33">
        <v>45292</v>
      </c>
      <c r="F27" s="33">
        <v>45646</v>
      </c>
      <c r="G27" s="67">
        <v>0.26356512999999998</v>
      </c>
      <c r="H27" s="28">
        <v>44867.67</v>
      </c>
      <c r="I27" s="28">
        <v>35155.5</v>
      </c>
      <c r="J27" s="28">
        <f t="shared" si="12"/>
        <v>9712.1699999999983</v>
      </c>
      <c r="K27" s="11">
        <f t="shared" si="13"/>
        <v>0.21646254418827629</v>
      </c>
      <c r="L27" s="29">
        <v>49028.85</v>
      </c>
      <c r="M27" s="29">
        <v>34098.99</v>
      </c>
      <c r="N27" s="29">
        <f t="shared" si="14"/>
        <v>14929.86</v>
      </c>
      <c r="O27" s="14">
        <f t="shared" si="15"/>
        <v>0.30451173135816978</v>
      </c>
      <c r="P27" s="30">
        <v>39664.83</v>
      </c>
      <c r="Q27" s="30">
        <v>35463.129999999997</v>
      </c>
      <c r="R27" s="30">
        <f t="shared" si="16"/>
        <v>4201.7000000000044</v>
      </c>
      <c r="S27" s="5">
        <f t="shared" si="17"/>
        <v>0.10593011491540501</v>
      </c>
      <c r="T27" s="31">
        <v>50032.86</v>
      </c>
      <c r="U27" s="31">
        <v>30266.58</v>
      </c>
      <c r="V27" s="31">
        <f t="shared" si="6"/>
        <v>19766.28</v>
      </c>
      <c r="W27" s="19">
        <f t="shared" si="7"/>
        <v>0.39506596264934685</v>
      </c>
      <c r="X27" s="22">
        <f t="shared" si="8"/>
        <v>183594.20999999996</v>
      </c>
      <c r="Y27" s="22">
        <f t="shared" si="9"/>
        <v>134984.20000000001</v>
      </c>
      <c r="Z27" s="22">
        <f t="shared" si="10"/>
        <v>48610.009999999951</v>
      </c>
      <c r="AA27" s="23">
        <f t="shared" si="11"/>
        <v>0.26476875278365236</v>
      </c>
      <c r="AB27"/>
    </row>
    <row r="28" spans="1:28" s="2" customFormat="1" ht="14" x14ac:dyDescent="0.2">
      <c r="A28" s="32" t="s">
        <v>13</v>
      </c>
      <c r="B28" s="32" t="s">
        <v>63</v>
      </c>
      <c r="C28" s="32" t="s">
        <v>64</v>
      </c>
      <c r="D28" s="32" t="s">
        <v>10</v>
      </c>
      <c r="E28" s="33">
        <v>45257</v>
      </c>
      <c r="F28" s="33">
        <v>46022</v>
      </c>
      <c r="G28" s="67">
        <v>0.18929760000000001</v>
      </c>
      <c r="H28" s="28">
        <v>171686.22</v>
      </c>
      <c r="I28" s="28">
        <v>137741.09</v>
      </c>
      <c r="J28" s="28">
        <f t="shared" si="12"/>
        <v>33945.130000000005</v>
      </c>
      <c r="K28" s="11">
        <f t="shared" si="13"/>
        <v>0.19771610091945646</v>
      </c>
      <c r="L28" s="29">
        <v>171792.47</v>
      </c>
      <c r="M28" s="29">
        <v>135739.70000000001</v>
      </c>
      <c r="N28" s="29">
        <f t="shared" si="14"/>
        <v>36052.76999999999</v>
      </c>
      <c r="O28" s="14">
        <f t="shared" si="15"/>
        <v>0.20986234146351113</v>
      </c>
      <c r="P28" s="30">
        <v>244600.97</v>
      </c>
      <c r="Q28" s="30">
        <v>177225.53</v>
      </c>
      <c r="R28" s="30">
        <f t="shared" si="16"/>
        <v>67375.44</v>
      </c>
      <c r="S28" s="5">
        <f t="shared" si="17"/>
        <v>0.27545042033153017</v>
      </c>
      <c r="T28" s="31">
        <v>145471.81</v>
      </c>
      <c r="U28" s="31">
        <v>159865.95000000001</v>
      </c>
      <c r="V28" s="31">
        <f t="shared" si="6"/>
        <v>-14394.140000000014</v>
      </c>
      <c r="W28" s="19">
        <f t="shared" si="7"/>
        <v>-9.8947967994623937E-2</v>
      </c>
      <c r="X28" s="22">
        <f t="shared" si="8"/>
        <v>733551.47</v>
      </c>
      <c r="Y28" s="22">
        <f t="shared" si="9"/>
        <v>610572.27</v>
      </c>
      <c r="Z28" s="22">
        <f t="shared" si="10"/>
        <v>122979.19999999995</v>
      </c>
      <c r="AA28" s="23">
        <f t="shared" si="11"/>
        <v>0.16764904035977182</v>
      </c>
      <c r="AB28"/>
    </row>
    <row r="29" spans="1:28" s="2" customFormat="1" ht="14" x14ac:dyDescent="0.2">
      <c r="A29" s="32" t="s">
        <v>13</v>
      </c>
      <c r="B29" s="32" t="s">
        <v>65</v>
      </c>
      <c r="C29" s="32" t="s">
        <v>66</v>
      </c>
      <c r="D29" s="32" t="s">
        <v>10</v>
      </c>
      <c r="E29" s="33">
        <v>45323</v>
      </c>
      <c r="F29" s="33">
        <v>45674</v>
      </c>
      <c r="G29" s="67">
        <v>0.22141980999999999</v>
      </c>
      <c r="H29" s="28">
        <v>39126</v>
      </c>
      <c r="I29" s="28">
        <v>45850.9</v>
      </c>
      <c r="J29" s="28">
        <f t="shared" si="12"/>
        <v>-6724.9000000000015</v>
      </c>
      <c r="K29" s="11">
        <f t="shared" si="13"/>
        <v>-0.17187803506619642</v>
      </c>
      <c r="L29" s="29">
        <v>195435.09</v>
      </c>
      <c r="M29" s="29">
        <v>162274.19</v>
      </c>
      <c r="N29" s="29">
        <f t="shared" si="14"/>
        <v>33160.899999999994</v>
      </c>
      <c r="O29" s="14">
        <f t="shared" si="15"/>
        <v>0.16967730820499019</v>
      </c>
      <c r="P29" s="30">
        <v>332244.5</v>
      </c>
      <c r="Q29" s="30">
        <v>233228.58</v>
      </c>
      <c r="R29" s="30">
        <f t="shared" si="16"/>
        <v>99015.920000000013</v>
      </c>
      <c r="S29" s="5">
        <f t="shared" si="17"/>
        <v>0.29802124640137012</v>
      </c>
      <c r="T29" s="31">
        <v>306939.62</v>
      </c>
      <c r="U29" s="31">
        <v>262210.88</v>
      </c>
      <c r="V29" s="31">
        <f t="shared" si="6"/>
        <v>44728.739999999991</v>
      </c>
      <c r="W29" s="19">
        <f t="shared" si="7"/>
        <v>0.14572488230747138</v>
      </c>
      <c r="X29" s="22">
        <f t="shared" si="8"/>
        <v>873745.21</v>
      </c>
      <c r="Y29" s="22">
        <f t="shared" si="9"/>
        <v>703564.55</v>
      </c>
      <c r="Z29" s="22">
        <f t="shared" si="10"/>
        <v>170180.65999999992</v>
      </c>
      <c r="AA29" s="23">
        <f t="shared" si="11"/>
        <v>0.19477149408349823</v>
      </c>
      <c r="AB29"/>
    </row>
    <row r="30" spans="1:28" s="2" customFormat="1" ht="14" x14ac:dyDescent="0.2">
      <c r="A30" s="32" t="s">
        <v>13</v>
      </c>
      <c r="B30" s="32" t="s">
        <v>67</v>
      </c>
      <c r="C30" s="32" t="s">
        <v>68</v>
      </c>
      <c r="D30" s="32" t="s">
        <v>10</v>
      </c>
      <c r="E30" s="33">
        <v>45352</v>
      </c>
      <c r="F30" s="33">
        <v>46203</v>
      </c>
      <c r="G30" s="67">
        <v>0.21263636999999999</v>
      </c>
      <c r="H30" s="28">
        <v>7755</v>
      </c>
      <c r="I30" s="28">
        <v>5401.67</v>
      </c>
      <c r="J30" s="28">
        <f t="shared" si="12"/>
        <v>2353.33</v>
      </c>
      <c r="K30" s="11">
        <f t="shared" si="13"/>
        <v>0.30345970341715023</v>
      </c>
      <c r="L30" s="29">
        <v>199039.18</v>
      </c>
      <c r="M30" s="29">
        <v>139319.23000000001</v>
      </c>
      <c r="N30" s="29">
        <f t="shared" si="14"/>
        <v>59719.949999999983</v>
      </c>
      <c r="O30" s="14">
        <f t="shared" si="15"/>
        <v>0.30004117782237638</v>
      </c>
      <c r="P30" s="30">
        <v>99268.55</v>
      </c>
      <c r="Q30" s="30">
        <v>106202.1</v>
      </c>
      <c r="R30" s="30">
        <f t="shared" si="16"/>
        <v>-6933.5500000000029</v>
      </c>
      <c r="S30" s="5">
        <f t="shared" si="17"/>
        <v>-6.9846391430115604E-2</v>
      </c>
      <c r="T30" s="31">
        <v>6092.12</v>
      </c>
      <c r="U30" s="31">
        <v>12496.39</v>
      </c>
      <c r="V30" s="31">
        <f t="shared" si="6"/>
        <v>-6404.2699999999995</v>
      </c>
      <c r="W30" s="19">
        <f t="shared" si="7"/>
        <v>-1.0512383209785756</v>
      </c>
      <c r="X30" s="22">
        <f t="shared" si="8"/>
        <v>312154.84999999998</v>
      </c>
      <c r="Y30" s="22">
        <f t="shared" si="9"/>
        <v>263419.39</v>
      </c>
      <c r="Z30" s="22">
        <f t="shared" si="10"/>
        <v>48735.459999999963</v>
      </c>
      <c r="AA30" s="23">
        <f t="shared" si="11"/>
        <v>0.15612590994501596</v>
      </c>
      <c r="AB30"/>
    </row>
    <row r="31" spans="1:28" s="2" customFormat="1" ht="14" x14ac:dyDescent="0.2">
      <c r="A31" s="32" t="s">
        <v>13</v>
      </c>
      <c r="B31" s="32" t="s">
        <v>69</v>
      </c>
      <c r="C31" s="32" t="s">
        <v>70</v>
      </c>
      <c r="D31" s="32" t="s">
        <v>10</v>
      </c>
      <c r="E31" s="33">
        <v>45292</v>
      </c>
      <c r="F31" s="33">
        <v>45657</v>
      </c>
      <c r="G31" s="67">
        <v>0.28868078000000003</v>
      </c>
      <c r="H31" s="28">
        <v>38491.86</v>
      </c>
      <c r="I31" s="28">
        <v>13010.26</v>
      </c>
      <c r="J31" s="28">
        <f t="shared" si="12"/>
        <v>25481.599999999999</v>
      </c>
      <c r="K31" s="11">
        <f t="shared" si="13"/>
        <v>0.66199970591184731</v>
      </c>
      <c r="L31" s="29">
        <v>31093.05</v>
      </c>
      <c r="M31" s="29">
        <v>25409.96</v>
      </c>
      <c r="N31" s="29">
        <f t="shared" si="14"/>
        <v>5683.09</v>
      </c>
      <c r="O31" s="14">
        <f t="shared" si="15"/>
        <v>0.18277685849410077</v>
      </c>
      <c r="P31" s="30">
        <v>9836.7199999999993</v>
      </c>
      <c r="Q31" s="30">
        <v>21067.02</v>
      </c>
      <c r="R31" s="30">
        <f t="shared" si="16"/>
        <v>-11230.300000000001</v>
      </c>
      <c r="S31" s="5">
        <f t="shared" si="17"/>
        <v>-1.1416712074756628</v>
      </c>
      <c r="T31" s="31">
        <v>61217.8</v>
      </c>
      <c r="U31" s="31">
        <v>38702.980000000003</v>
      </c>
      <c r="V31" s="31">
        <f t="shared" si="6"/>
        <v>22514.82</v>
      </c>
      <c r="W31" s="19">
        <f t="shared" si="7"/>
        <v>0.36778224634011675</v>
      </c>
      <c r="X31" s="22">
        <f t="shared" si="8"/>
        <v>140639.43</v>
      </c>
      <c r="Y31" s="22">
        <f t="shared" si="9"/>
        <v>98190.22</v>
      </c>
      <c r="Z31" s="22">
        <f t="shared" si="10"/>
        <v>42449.209999999992</v>
      </c>
      <c r="AA31" s="23">
        <f t="shared" si="11"/>
        <v>0.30183007709857751</v>
      </c>
      <c r="AB31"/>
    </row>
    <row r="32" spans="1:28" s="2" customFormat="1" ht="14" x14ac:dyDescent="0.2">
      <c r="A32" s="32" t="s">
        <v>13</v>
      </c>
      <c r="B32" s="32" t="s">
        <v>71</v>
      </c>
      <c r="C32" s="32" t="s">
        <v>72</v>
      </c>
      <c r="D32" s="32" t="s">
        <v>8</v>
      </c>
      <c r="E32" s="33">
        <v>45366</v>
      </c>
      <c r="F32" s="33">
        <v>45576</v>
      </c>
      <c r="G32" s="67">
        <v>0.2796208</v>
      </c>
      <c r="H32" s="28">
        <v>0</v>
      </c>
      <c r="I32" s="28">
        <v>0</v>
      </c>
      <c r="J32" s="28">
        <f t="shared" si="12"/>
        <v>0</v>
      </c>
      <c r="K32" s="11" t="e">
        <f t="shared" si="13"/>
        <v>#DIV/0!</v>
      </c>
      <c r="L32" s="29">
        <v>104709.58</v>
      </c>
      <c r="M32" s="29">
        <v>80860.67</v>
      </c>
      <c r="N32" s="29">
        <f t="shared" si="14"/>
        <v>23848.910000000003</v>
      </c>
      <c r="O32" s="14">
        <f t="shared" si="15"/>
        <v>0.22776244542285437</v>
      </c>
      <c r="P32" s="30">
        <v>130878.33</v>
      </c>
      <c r="Q32" s="30">
        <v>104092.01</v>
      </c>
      <c r="R32" s="30">
        <f t="shared" si="16"/>
        <v>26786.320000000007</v>
      </c>
      <c r="S32" s="5">
        <f t="shared" si="17"/>
        <v>0.20466581442474097</v>
      </c>
      <c r="T32" s="31">
        <v>54829.13</v>
      </c>
      <c r="U32" s="31">
        <v>25714.47</v>
      </c>
      <c r="V32" s="31">
        <f t="shared" si="6"/>
        <v>29114.659999999996</v>
      </c>
      <c r="W32" s="19">
        <f t="shared" si="7"/>
        <v>0.53100714893707046</v>
      </c>
      <c r="X32" s="22">
        <f t="shared" si="8"/>
        <v>290417.03999999998</v>
      </c>
      <c r="Y32" s="22">
        <f t="shared" si="9"/>
        <v>210667.15</v>
      </c>
      <c r="Z32" s="22">
        <f t="shared" si="10"/>
        <v>79749.889999999985</v>
      </c>
      <c r="AA32" s="23">
        <f t="shared" si="11"/>
        <v>0.27460472016380305</v>
      </c>
      <c r="AB32"/>
    </row>
    <row r="33" spans="1:28" s="2" customFormat="1" ht="14" x14ac:dyDescent="0.2">
      <c r="A33" s="32" t="s">
        <v>13</v>
      </c>
      <c r="B33" s="32" t="s">
        <v>73</v>
      </c>
      <c r="C33" s="32" t="s">
        <v>74</v>
      </c>
      <c r="D33" s="32" t="s">
        <v>10</v>
      </c>
      <c r="E33" s="33">
        <v>45425</v>
      </c>
      <c r="F33" s="33">
        <v>45702</v>
      </c>
      <c r="G33" s="67">
        <v>0.12969251000000001</v>
      </c>
      <c r="H33" s="28">
        <v>0</v>
      </c>
      <c r="I33" s="28">
        <v>0</v>
      </c>
      <c r="J33" s="28">
        <f t="shared" si="12"/>
        <v>0</v>
      </c>
      <c r="K33" s="11" t="e">
        <f t="shared" si="13"/>
        <v>#DIV/0!</v>
      </c>
      <c r="L33" s="29">
        <v>123765.53</v>
      </c>
      <c r="M33" s="29">
        <v>108017.77</v>
      </c>
      <c r="N33" s="29">
        <f t="shared" si="14"/>
        <v>15747.759999999995</v>
      </c>
      <c r="O33" s="14">
        <f t="shared" si="15"/>
        <v>0.12723865845360979</v>
      </c>
      <c r="P33" s="30">
        <v>378509.34</v>
      </c>
      <c r="Q33" s="30">
        <v>279119.76</v>
      </c>
      <c r="R33" s="30">
        <f t="shared" si="16"/>
        <v>99389.580000000016</v>
      </c>
      <c r="S33" s="5">
        <f t="shared" si="17"/>
        <v>0.26258157856818015</v>
      </c>
      <c r="T33" s="31">
        <v>926988.23</v>
      </c>
      <c r="U33" s="31">
        <v>590811.52</v>
      </c>
      <c r="V33" s="31">
        <f t="shared" si="6"/>
        <v>336176.70999999996</v>
      </c>
      <c r="W33" s="19">
        <f t="shared" si="7"/>
        <v>0.36265477718093569</v>
      </c>
      <c r="X33" s="22">
        <f t="shared" si="8"/>
        <v>1429263.1</v>
      </c>
      <c r="Y33" s="22">
        <f t="shared" si="9"/>
        <v>977949.05</v>
      </c>
      <c r="Z33" s="22">
        <f t="shared" si="10"/>
        <v>451314.05000000005</v>
      </c>
      <c r="AA33" s="23">
        <f t="shared" si="11"/>
        <v>0.31576695011576245</v>
      </c>
      <c r="AB33"/>
    </row>
    <row r="34" spans="1:28" s="2" customFormat="1" ht="14" x14ac:dyDescent="0.2">
      <c r="A34" s="32" t="s">
        <v>13</v>
      </c>
      <c r="B34" s="32" t="s">
        <v>75</v>
      </c>
      <c r="C34" s="32" t="s">
        <v>76</v>
      </c>
      <c r="D34" s="32" t="s">
        <v>10</v>
      </c>
      <c r="E34" s="33">
        <v>45453</v>
      </c>
      <c r="F34" s="33">
        <v>45646</v>
      </c>
      <c r="G34" s="67">
        <v>0.18987420999999999</v>
      </c>
      <c r="H34" s="28">
        <v>0</v>
      </c>
      <c r="I34" s="28">
        <v>0</v>
      </c>
      <c r="J34" s="28">
        <f t="shared" si="12"/>
        <v>0</v>
      </c>
      <c r="K34" s="11" t="e">
        <f t="shared" si="13"/>
        <v>#DIV/0!</v>
      </c>
      <c r="L34" s="29">
        <v>8941.76</v>
      </c>
      <c r="M34" s="29">
        <v>7600.5</v>
      </c>
      <c r="N34" s="29">
        <f t="shared" si="14"/>
        <v>1341.2600000000002</v>
      </c>
      <c r="O34" s="14">
        <f t="shared" si="15"/>
        <v>0.14999955266077375</v>
      </c>
      <c r="P34" s="30">
        <v>112071.06</v>
      </c>
      <c r="Q34" s="30">
        <v>91236.67</v>
      </c>
      <c r="R34" s="30">
        <f t="shared" si="16"/>
        <v>20834.39</v>
      </c>
      <c r="S34" s="5">
        <f t="shared" si="17"/>
        <v>0.18590339022402394</v>
      </c>
      <c r="T34" s="31">
        <v>143837.76999999999</v>
      </c>
      <c r="U34" s="31">
        <v>126675.76</v>
      </c>
      <c r="V34" s="31">
        <f t="shared" si="6"/>
        <v>17162.009999999995</v>
      </c>
      <c r="W34" s="19">
        <f t="shared" si="7"/>
        <v>0.11931504499826434</v>
      </c>
      <c r="X34" s="22">
        <f t="shared" si="8"/>
        <v>264850.58999999997</v>
      </c>
      <c r="Y34" s="22">
        <f t="shared" si="9"/>
        <v>225512.93</v>
      </c>
      <c r="Z34" s="22">
        <f t="shared" si="10"/>
        <v>39337.659999999974</v>
      </c>
      <c r="AA34" s="23">
        <f t="shared" si="11"/>
        <v>0.14852774162217264</v>
      </c>
      <c r="AB34"/>
    </row>
    <row r="35" spans="1:28" s="2" customFormat="1" ht="14" x14ac:dyDescent="0.2">
      <c r="A35" s="32" t="s">
        <v>13</v>
      </c>
      <c r="B35" s="32" t="s">
        <v>77</v>
      </c>
      <c r="C35" s="32" t="s">
        <v>78</v>
      </c>
      <c r="D35" s="32" t="s">
        <v>10</v>
      </c>
      <c r="E35" s="33">
        <v>45488</v>
      </c>
      <c r="F35" s="33">
        <v>45716</v>
      </c>
      <c r="G35" s="67">
        <v>0.21815075</v>
      </c>
      <c r="H35" s="28">
        <v>0</v>
      </c>
      <c r="I35" s="28">
        <v>0</v>
      </c>
      <c r="J35" s="28">
        <f t="shared" si="12"/>
        <v>0</v>
      </c>
      <c r="K35" s="11" t="e">
        <f t="shared" si="13"/>
        <v>#DIV/0!</v>
      </c>
      <c r="L35" s="29">
        <v>0</v>
      </c>
      <c r="M35" s="29">
        <v>0</v>
      </c>
      <c r="N35" s="29">
        <f t="shared" si="14"/>
        <v>0</v>
      </c>
      <c r="O35" s="14" t="e">
        <f t="shared" si="15"/>
        <v>#DIV/0!</v>
      </c>
      <c r="P35" s="30">
        <v>63624.25</v>
      </c>
      <c r="Q35" s="30">
        <v>14974.81</v>
      </c>
      <c r="R35" s="30">
        <f t="shared" si="16"/>
        <v>48649.440000000002</v>
      </c>
      <c r="S35" s="5">
        <f t="shared" si="17"/>
        <v>0.76463675406782794</v>
      </c>
      <c r="T35" s="31">
        <v>78594.63</v>
      </c>
      <c r="U35" s="31">
        <v>2046.99</v>
      </c>
      <c r="V35" s="31">
        <f t="shared" si="6"/>
        <v>76547.64</v>
      </c>
      <c r="W35" s="19">
        <f t="shared" si="7"/>
        <v>0.97395509082490739</v>
      </c>
      <c r="X35" s="22">
        <f t="shared" si="8"/>
        <v>142218.88</v>
      </c>
      <c r="Y35" s="22">
        <f t="shared" si="9"/>
        <v>17021.8</v>
      </c>
      <c r="Z35" s="22">
        <f t="shared" si="10"/>
        <v>125197.08</v>
      </c>
      <c r="AA35" s="23">
        <f t="shared" si="11"/>
        <v>0.88031265609741827</v>
      </c>
      <c r="AB35"/>
    </row>
    <row r="36" spans="1:28" s="2" customFormat="1" ht="14" x14ac:dyDescent="0.2">
      <c r="A36" s="32" t="s">
        <v>13</v>
      </c>
      <c r="B36" s="32" t="s">
        <v>79</v>
      </c>
      <c r="C36" s="32" t="s">
        <v>80</v>
      </c>
      <c r="D36" s="32" t="s">
        <v>10</v>
      </c>
      <c r="E36" s="33">
        <v>45495</v>
      </c>
      <c r="F36" s="33">
        <v>45653</v>
      </c>
      <c r="G36" s="67">
        <v>0.20104443</v>
      </c>
      <c r="H36" s="28">
        <v>0</v>
      </c>
      <c r="I36" s="28">
        <v>0</v>
      </c>
      <c r="J36" s="28">
        <f t="shared" si="12"/>
        <v>0</v>
      </c>
      <c r="K36" s="11" t="e">
        <f t="shared" si="13"/>
        <v>#DIV/0!</v>
      </c>
      <c r="L36" s="29">
        <v>0</v>
      </c>
      <c r="M36" s="29">
        <v>0</v>
      </c>
      <c r="N36" s="29">
        <f t="shared" si="14"/>
        <v>0</v>
      </c>
      <c r="O36" s="14" t="e">
        <f t="shared" si="15"/>
        <v>#DIV/0!</v>
      </c>
      <c r="P36" s="30">
        <v>26324.46</v>
      </c>
      <c r="Q36" s="30">
        <v>15876.39</v>
      </c>
      <c r="R36" s="30">
        <f t="shared" si="16"/>
        <v>10448.07</v>
      </c>
      <c r="S36" s="5">
        <f t="shared" si="17"/>
        <v>0.39689589074191833</v>
      </c>
      <c r="T36" s="31">
        <v>32174.34</v>
      </c>
      <c r="U36" s="31">
        <v>30466.18</v>
      </c>
      <c r="V36" s="31">
        <f t="shared" si="6"/>
        <v>1708.1599999999999</v>
      </c>
      <c r="W36" s="19">
        <f t="shared" si="7"/>
        <v>5.3090754930792669E-2</v>
      </c>
      <c r="X36" s="22">
        <f t="shared" si="8"/>
        <v>58498.8</v>
      </c>
      <c r="Y36" s="22">
        <f t="shared" si="9"/>
        <v>46342.57</v>
      </c>
      <c r="Z36" s="22">
        <f t="shared" si="10"/>
        <v>12156.230000000003</v>
      </c>
      <c r="AA36" s="23">
        <f t="shared" si="11"/>
        <v>0.20780306604579926</v>
      </c>
      <c r="AB36"/>
    </row>
    <row r="37" spans="1:28" s="2" customFormat="1" ht="14" x14ac:dyDescent="0.2">
      <c r="A37" s="32" t="s">
        <v>13</v>
      </c>
      <c r="B37" s="32" t="s">
        <v>82</v>
      </c>
      <c r="C37" s="32" t="s">
        <v>83</v>
      </c>
      <c r="D37" s="32" t="s">
        <v>10</v>
      </c>
      <c r="E37" s="33">
        <v>45516</v>
      </c>
      <c r="F37" s="33">
        <v>45653</v>
      </c>
      <c r="G37" s="67">
        <v>0.20873129000000001</v>
      </c>
      <c r="H37" s="28">
        <v>0</v>
      </c>
      <c r="I37" s="28">
        <v>0</v>
      </c>
      <c r="J37" s="28">
        <f t="shared" si="12"/>
        <v>0</v>
      </c>
      <c r="K37" s="11" t="e">
        <f t="shared" si="13"/>
        <v>#DIV/0!</v>
      </c>
      <c r="L37" s="29">
        <v>0</v>
      </c>
      <c r="M37" s="29">
        <v>0</v>
      </c>
      <c r="N37" s="29">
        <f t="shared" si="14"/>
        <v>0</v>
      </c>
      <c r="O37" s="14" t="e">
        <f t="shared" si="15"/>
        <v>#DIV/0!</v>
      </c>
      <c r="P37" s="30">
        <v>156520.70000000001</v>
      </c>
      <c r="Q37" s="30">
        <v>93563.520000000004</v>
      </c>
      <c r="R37" s="30">
        <f t="shared" si="16"/>
        <v>62957.180000000008</v>
      </c>
      <c r="S37" s="5">
        <f t="shared" si="17"/>
        <v>0.4022290981320682</v>
      </c>
      <c r="T37" s="31">
        <v>0</v>
      </c>
      <c r="U37" s="31">
        <v>565.59</v>
      </c>
      <c r="V37" s="31">
        <f t="shared" si="6"/>
        <v>-565.59</v>
      </c>
      <c r="W37" s="19" t="e">
        <f t="shared" si="7"/>
        <v>#DIV/0!</v>
      </c>
      <c r="X37" s="22">
        <f t="shared" si="8"/>
        <v>156520.70000000001</v>
      </c>
      <c r="Y37" s="22">
        <f t="shared" si="9"/>
        <v>94129.11</v>
      </c>
      <c r="Z37" s="22">
        <f t="shared" si="10"/>
        <v>62391.590000000011</v>
      </c>
      <c r="AA37" s="23">
        <f t="shared" si="11"/>
        <v>0.39861558247567258</v>
      </c>
      <c r="AB37"/>
    </row>
    <row r="38" spans="1:28" s="2" customFormat="1" ht="14" x14ac:dyDescent="0.2">
      <c r="A38" s="32" t="s">
        <v>13</v>
      </c>
      <c r="B38" s="32" t="s">
        <v>84</v>
      </c>
      <c r="C38" s="32" t="s">
        <v>85</v>
      </c>
      <c r="D38" s="32" t="s">
        <v>10</v>
      </c>
      <c r="E38" s="33">
        <v>45516</v>
      </c>
      <c r="F38" s="33">
        <v>45657</v>
      </c>
      <c r="G38" s="67">
        <v>-2.381144E-2</v>
      </c>
      <c r="H38" s="28">
        <v>0</v>
      </c>
      <c r="I38" s="28">
        <v>0</v>
      </c>
      <c r="J38" s="28"/>
      <c r="K38" s="11"/>
      <c r="L38" s="29">
        <v>0</v>
      </c>
      <c r="M38" s="29">
        <v>0</v>
      </c>
      <c r="N38" s="29"/>
      <c r="O38" s="14"/>
      <c r="P38" s="30">
        <v>133360.76999999999</v>
      </c>
      <c r="Q38" s="30">
        <v>118737.48</v>
      </c>
      <c r="R38" s="30">
        <f t="shared" si="16"/>
        <v>14623.289999999994</v>
      </c>
      <c r="S38" s="5">
        <f t="shared" si="17"/>
        <v>0.10965211133678963</v>
      </c>
      <c r="T38" s="31">
        <v>172584.5</v>
      </c>
      <c r="U38" s="31">
        <v>265871.58</v>
      </c>
      <c r="V38" s="31">
        <f t="shared" si="6"/>
        <v>-93287.080000000016</v>
      </c>
      <c r="W38" s="19">
        <f t="shared" si="7"/>
        <v>-0.54052988536050461</v>
      </c>
      <c r="X38" s="22">
        <f t="shared" si="8"/>
        <v>305945.27</v>
      </c>
      <c r="Y38" s="22">
        <f t="shared" si="9"/>
        <v>384609.06</v>
      </c>
      <c r="Z38" s="22">
        <f t="shared" si="10"/>
        <v>-78663.789999999979</v>
      </c>
      <c r="AA38" s="23">
        <f t="shared" si="11"/>
        <v>-0.2571171961573388</v>
      </c>
      <c r="AB38"/>
    </row>
    <row r="39" spans="1:28" s="2" customFormat="1" ht="14" x14ac:dyDescent="0.2">
      <c r="A39" s="32" t="s">
        <v>13</v>
      </c>
      <c r="B39" s="32" t="s">
        <v>86</v>
      </c>
      <c r="C39" s="32" t="s">
        <v>87</v>
      </c>
      <c r="D39" s="32" t="s">
        <v>8</v>
      </c>
      <c r="E39" s="33">
        <v>45523</v>
      </c>
      <c r="F39" s="33">
        <v>45583</v>
      </c>
      <c r="G39" s="67">
        <v>0.14598633</v>
      </c>
      <c r="H39" s="28">
        <v>0</v>
      </c>
      <c r="I39" s="28">
        <v>0</v>
      </c>
      <c r="J39" s="28"/>
      <c r="K39" s="11"/>
      <c r="L39" s="29">
        <v>0</v>
      </c>
      <c r="M39" s="29">
        <v>0</v>
      </c>
      <c r="N39" s="29"/>
      <c r="O39" s="14"/>
      <c r="P39" s="30">
        <v>0</v>
      </c>
      <c r="Q39" s="30">
        <v>5173.17</v>
      </c>
      <c r="R39" s="30">
        <f t="shared" si="16"/>
        <v>-5173.17</v>
      </c>
      <c r="S39" s="5" t="e">
        <f t="shared" si="17"/>
        <v>#DIV/0!</v>
      </c>
      <c r="T39" s="31">
        <v>11600.47</v>
      </c>
      <c r="U39" s="31">
        <v>4373.57</v>
      </c>
      <c r="V39" s="31">
        <f t="shared" si="6"/>
        <v>7226.9</v>
      </c>
      <c r="W39" s="19">
        <f t="shared" si="7"/>
        <v>0.62298337912170798</v>
      </c>
      <c r="X39" s="22">
        <f t="shared" si="8"/>
        <v>11600.47</v>
      </c>
      <c r="Y39" s="22">
        <f t="shared" si="9"/>
        <v>9546.74</v>
      </c>
      <c r="Z39" s="22">
        <f t="shared" si="10"/>
        <v>2053.7299999999996</v>
      </c>
      <c r="AA39" s="23">
        <f t="shared" si="11"/>
        <v>0.17703851654286418</v>
      </c>
      <c r="AB39"/>
    </row>
    <row r="40" spans="1:28" s="2" customFormat="1" ht="14" x14ac:dyDescent="0.2">
      <c r="A40" s="32" t="s">
        <v>13</v>
      </c>
      <c r="B40" s="32" t="s">
        <v>88</v>
      </c>
      <c r="C40" s="32" t="s">
        <v>89</v>
      </c>
      <c r="D40" s="32" t="s">
        <v>10</v>
      </c>
      <c r="E40" s="33">
        <v>45566</v>
      </c>
      <c r="F40" s="33">
        <v>45849</v>
      </c>
      <c r="G40" s="67">
        <v>0.11988838</v>
      </c>
      <c r="H40" s="28">
        <v>0</v>
      </c>
      <c r="I40" s="28">
        <v>0</v>
      </c>
      <c r="J40" s="28"/>
      <c r="K40" s="11"/>
      <c r="L40" s="29">
        <v>0</v>
      </c>
      <c r="M40" s="29">
        <v>0</v>
      </c>
      <c r="N40" s="29"/>
      <c r="O40" s="14"/>
      <c r="P40" s="30">
        <v>0</v>
      </c>
      <c r="Q40" s="30">
        <v>0</v>
      </c>
      <c r="R40" s="30">
        <f t="shared" si="16"/>
        <v>0</v>
      </c>
      <c r="S40" s="5" t="e">
        <f t="shared" si="17"/>
        <v>#DIV/0!</v>
      </c>
      <c r="T40" s="31">
        <v>194150.93</v>
      </c>
      <c r="U40" s="31">
        <v>5544.44</v>
      </c>
      <c r="V40" s="31">
        <f t="shared" si="6"/>
        <v>188606.49</v>
      </c>
      <c r="W40" s="19">
        <f t="shared" si="7"/>
        <v>0.97144262971081308</v>
      </c>
      <c r="X40" s="22">
        <f t="shared" si="8"/>
        <v>194150.93</v>
      </c>
      <c r="Y40" s="22">
        <f t="shared" si="9"/>
        <v>5544.44</v>
      </c>
      <c r="Z40" s="22">
        <f t="shared" si="10"/>
        <v>188606.49</v>
      </c>
      <c r="AA40" s="23">
        <f t="shared" si="11"/>
        <v>0.97144262971081308</v>
      </c>
      <c r="AB40"/>
    </row>
    <row r="41" spans="1:28" s="2" customFormat="1" ht="14" x14ac:dyDescent="0.2">
      <c r="A41" s="32" t="s">
        <v>13</v>
      </c>
      <c r="B41" s="32" t="s">
        <v>90</v>
      </c>
      <c r="C41" s="32" t="s">
        <v>7</v>
      </c>
      <c r="D41" s="32" t="s">
        <v>81</v>
      </c>
      <c r="E41" s="33">
        <v>45565</v>
      </c>
      <c r="F41" s="33">
        <v>45620</v>
      </c>
      <c r="G41" s="67">
        <v>0</v>
      </c>
      <c r="H41" s="28">
        <v>0</v>
      </c>
      <c r="I41" s="28">
        <v>0</v>
      </c>
      <c r="J41" s="28"/>
      <c r="K41" s="11"/>
      <c r="L41" s="29">
        <v>0</v>
      </c>
      <c r="M41" s="29">
        <v>0</v>
      </c>
      <c r="N41" s="29"/>
      <c r="O41" s="14"/>
      <c r="P41" s="30">
        <v>0</v>
      </c>
      <c r="Q41" s="30">
        <v>0</v>
      </c>
      <c r="R41" s="30">
        <f t="shared" si="16"/>
        <v>0</v>
      </c>
      <c r="S41" s="5" t="e">
        <f t="shared" si="17"/>
        <v>#DIV/0!</v>
      </c>
      <c r="T41" s="31">
        <v>0</v>
      </c>
      <c r="U41" s="31">
        <v>21172.83</v>
      </c>
      <c r="V41" s="31">
        <f t="shared" si="6"/>
        <v>-21172.83</v>
      </c>
      <c r="W41" s="19" t="e">
        <f t="shared" si="7"/>
        <v>#DIV/0!</v>
      </c>
      <c r="X41" s="22">
        <f t="shared" si="8"/>
        <v>0</v>
      </c>
      <c r="Y41" s="22">
        <f t="shared" si="9"/>
        <v>21172.83</v>
      </c>
      <c r="Z41" s="22">
        <f t="shared" si="10"/>
        <v>-21172.83</v>
      </c>
      <c r="AA41" s="23" t="e">
        <f t="shared" si="11"/>
        <v>#DIV/0!</v>
      </c>
      <c r="AB41"/>
    </row>
    <row r="42" spans="1:28" s="2" customFormat="1" ht="14" x14ac:dyDescent="0.2">
      <c r="A42" s="32" t="s">
        <v>13</v>
      </c>
      <c r="B42" s="32" t="s">
        <v>91</v>
      </c>
      <c r="C42" s="32" t="s">
        <v>92</v>
      </c>
      <c r="D42" s="32" t="s">
        <v>10</v>
      </c>
      <c r="E42" s="33">
        <v>45597</v>
      </c>
      <c r="F42" s="33">
        <v>45869</v>
      </c>
      <c r="G42" s="67">
        <v>0.22600361999999999</v>
      </c>
      <c r="H42" s="28">
        <v>0</v>
      </c>
      <c r="I42" s="28">
        <v>0</v>
      </c>
      <c r="J42" s="28"/>
      <c r="K42" s="11"/>
      <c r="L42" s="29">
        <v>0</v>
      </c>
      <c r="M42" s="29">
        <v>0</v>
      </c>
      <c r="N42" s="29"/>
      <c r="O42" s="14"/>
      <c r="P42" s="30">
        <v>0</v>
      </c>
      <c r="Q42" s="30">
        <v>0</v>
      </c>
      <c r="R42" s="30">
        <f t="shared" si="16"/>
        <v>0</v>
      </c>
      <c r="S42" s="5" t="e">
        <f t="shared" si="17"/>
        <v>#DIV/0!</v>
      </c>
      <c r="T42" s="31">
        <v>66050.559999999998</v>
      </c>
      <c r="U42" s="31">
        <v>59647.76</v>
      </c>
      <c r="V42" s="31">
        <f t="shared" si="6"/>
        <v>6402.7999999999956</v>
      </c>
      <c r="W42" s="19">
        <f t="shared" si="7"/>
        <v>9.6937860935622594E-2</v>
      </c>
      <c r="X42" s="22">
        <f t="shared" si="8"/>
        <v>66050.559999999998</v>
      </c>
      <c r="Y42" s="22">
        <f t="shared" si="9"/>
        <v>59647.76</v>
      </c>
      <c r="Z42" s="22">
        <f t="shared" si="10"/>
        <v>6402.7999999999956</v>
      </c>
      <c r="AA42" s="23">
        <f t="shared" si="11"/>
        <v>9.6937860935622594E-2</v>
      </c>
      <c r="AB42"/>
    </row>
    <row r="43" spans="1:28" s="2" customFormat="1" ht="14" x14ac:dyDescent="0.2">
      <c r="A43" s="32" t="s">
        <v>13</v>
      </c>
      <c r="B43" s="32" t="s">
        <v>93</v>
      </c>
      <c r="C43" s="32" t="s">
        <v>94</v>
      </c>
      <c r="D43" s="32" t="s">
        <v>10</v>
      </c>
      <c r="E43" s="33">
        <v>45621</v>
      </c>
      <c r="F43" s="33">
        <v>45838</v>
      </c>
      <c r="G43" s="67">
        <v>4.9961899999999997E-2</v>
      </c>
      <c r="H43" s="28">
        <v>0</v>
      </c>
      <c r="I43" s="28">
        <v>0</v>
      </c>
      <c r="J43" s="28"/>
      <c r="K43" s="11"/>
      <c r="L43" s="29">
        <v>0</v>
      </c>
      <c r="M43" s="29">
        <v>0</v>
      </c>
      <c r="N43" s="29"/>
      <c r="O43" s="14"/>
      <c r="P43" s="30">
        <v>0</v>
      </c>
      <c r="Q43" s="30">
        <v>0</v>
      </c>
      <c r="R43" s="30">
        <f t="shared" si="16"/>
        <v>0</v>
      </c>
      <c r="S43" s="5" t="e">
        <f t="shared" si="17"/>
        <v>#DIV/0!</v>
      </c>
      <c r="T43" s="31">
        <v>31180</v>
      </c>
      <c r="U43" s="31">
        <v>37035.14</v>
      </c>
      <c r="V43" s="31">
        <f t="shared" si="6"/>
        <v>-5855.1399999999994</v>
      </c>
      <c r="W43" s="19">
        <f t="shared" si="7"/>
        <v>-0.18778511866581141</v>
      </c>
      <c r="X43" s="22">
        <f t="shared" si="8"/>
        <v>31180</v>
      </c>
      <c r="Y43" s="22">
        <f t="shared" si="9"/>
        <v>37035.14</v>
      </c>
      <c r="Z43" s="22">
        <f t="shared" si="10"/>
        <v>-5855.1399999999994</v>
      </c>
      <c r="AA43" s="23">
        <f t="shared" si="11"/>
        <v>-0.18778511866581141</v>
      </c>
      <c r="AB43"/>
    </row>
    <row r="44" spans="1:28" s="2" customFormat="1" ht="14" x14ac:dyDescent="0.2">
      <c r="A44" s="32" t="s">
        <v>13</v>
      </c>
      <c r="B44" s="32" t="s">
        <v>95</v>
      </c>
      <c r="C44" s="32" t="s">
        <v>96</v>
      </c>
      <c r="D44" s="32" t="s">
        <v>10</v>
      </c>
      <c r="E44" s="33">
        <v>45631</v>
      </c>
      <c r="F44" s="33">
        <v>45716</v>
      </c>
      <c r="G44" s="67">
        <v>0.22442160999999999</v>
      </c>
      <c r="H44" s="28">
        <v>0</v>
      </c>
      <c r="I44" s="28">
        <v>0</v>
      </c>
      <c r="J44" s="28"/>
      <c r="K44" s="11"/>
      <c r="L44" s="29">
        <v>0</v>
      </c>
      <c r="M44" s="29">
        <v>0</v>
      </c>
      <c r="N44" s="29"/>
      <c r="O44" s="14"/>
      <c r="P44" s="30">
        <v>0</v>
      </c>
      <c r="Q44" s="30">
        <v>0</v>
      </c>
      <c r="R44" s="30">
        <f t="shared" si="16"/>
        <v>0</v>
      </c>
      <c r="S44" s="5" t="e">
        <f t="shared" si="17"/>
        <v>#DIV/0!</v>
      </c>
      <c r="T44" s="31">
        <v>74204.67</v>
      </c>
      <c r="U44" s="31">
        <v>0</v>
      </c>
      <c r="V44" s="31">
        <f t="shared" si="6"/>
        <v>74204.67</v>
      </c>
      <c r="W44" s="19">
        <f t="shared" si="7"/>
        <v>1</v>
      </c>
      <c r="X44" s="22">
        <f t="shared" si="8"/>
        <v>74204.67</v>
      </c>
      <c r="Y44" s="22">
        <f t="shared" si="9"/>
        <v>0</v>
      </c>
      <c r="Z44" s="22">
        <f t="shared" si="10"/>
        <v>74204.67</v>
      </c>
      <c r="AA44" s="23">
        <f t="shared" si="11"/>
        <v>1</v>
      </c>
      <c r="AB44"/>
    </row>
    <row r="45" spans="1:28" s="1" customFormat="1" ht="14" x14ac:dyDescent="0.2">
      <c r="A45" s="253" t="s">
        <v>105</v>
      </c>
      <c r="B45" s="253"/>
      <c r="C45" s="253"/>
      <c r="D45" s="253"/>
      <c r="E45" s="253"/>
      <c r="F45" s="253"/>
      <c r="G45" s="152"/>
      <c r="H45" s="12">
        <f>SUM(H3:H44)</f>
        <v>1859103.3</v>
      </c>
      <c r="I45" s="12">
        <f>SUM(I3:I44)</f>
        <v>1726229.21</v>
      </c>
      <c r="J45" s="12">
        <f>SUM(J3:J44)</f>
        <v>132874.08999999997</v>
      </c>
      <c r="K45" s="24">
        <f>J45/H45*100%</f>
        <v>7.1472139283492192E-2</v>
      </c>
      <c r="L45" s="15">
        <f>SUM(L3:L44)</f>
        <v>2290018.4799999995</v>
      </c>
      <c r="M45" s="15">
        <f>SUM(M3:M44)</f>
        <v>2122264.1599999997</v>
      </c>
      <c r="N45" s="15">
        <f>SUM(N3:N44)</f>
        <v>167754.31999999995</v>
      </c>
      <c r="O45" s="25">
        <f>N45/L45*100%</f>
        <v>7.3254570417265796E-2</v>
      </c>
      <c r="P45" s="17">
        <f>SUM(P3:P44)</f>
        <v>3186014.7100000004</v>
      </c>
      <c r="Q45" s="17">
        <f>SUM(Q3:Q44)</f>
        <v>2589779.16</v>
      </c>
      <c r="R45" s="17">
        <f>SUM(R3:R44)</f>
        <v>596235.55000000016</v>
      </c>
      <c r="S45" s="26">
        <f>R45/P45*100%</f>
        <v>0.18714149314144254</v>
      </c>
      <c r="T45" s="20">
        <f>SUM(T3:T44)</f>
        <v>3492524.08</v>
      </c>
      <c r="U45" s="20">
        <f>SUM(U3:U44)</f>
        <v>2598422.11</v>
      </c>
      <c r="V45" s="20">
        <f>SUM(V3:V44)</f>
        <v>894101.9700000002</v>
      </c>
      <c r="W45" s="27">
        <f>V45/T45*100%</f>
        <v>0.25600452552928432</v>
      </c>
      <c r="X45" s="22">
        <f>SUM(X3:X44)</f>
        <v>10827660.57</v>
      </c>
      <c r="Y45" s="22">
        <f>SUM(Y3:Y44)</f>
        <v>9036694.6399999987</v>
      </c>
      <c r="Z45" s="22">
        <f>SUM(Z3:Z44)</f>
        <v>1790965.9299999997</v>
      </c>
      <c r="AA45" s="23">
        <f>Z45/X45*100%</f>
        <v>0.16540654543255595</v>
      </c>
      <c r="AB45"/>
    </row>
    <row r="46" spans="1:28" x14ac:dyDescent="0.15">
      <c r="K46" s="34"/>
      <c r="O46" s="34"/>
      <c r="S46" s="34"/>
      <c r="W46" s="3" t="s">
        <v>124</v>
      </c>
      <c r="X46" s="6">
        <f>X45</f>
        <v>10827660.57</v>
      </c>
      <c r="Y46" s="6">
        <f>Y45+412279.85</f>
        <v>9448974.4899999984</v>
      </c>
      <c r="Z46" s="12">
        <f>X46-Y46</f>
        <v>1378686.0800000019</v>
      </c>
      <c r="AA46" s="23">
        <f>Z46/X46*100%</f>
        <v>0.12733000550644358</v>
      </c>
    </row>
    <row r="47" spans="1:28" x14ac:dyDescent="0.15">
      <c r="K47" s="34"/>
      <c r="O47" s="34"/>
      <c r="S47" s="34"/>
      <c r="T47" s="40"/>
      <c r="U47" s="40"/>
      <c r="V47" s="40"/>
      <c r="Y47" s="6"/>
    </row>
    <row r="48" spans="1:28" x14ac:dyDescent="0.15">
      <c r="K48" s="34"/>
      <c r="O48" s="34"/>
      <c r="S48" s="34"/>
      <c r="V48" s="40"/>
    </row>
    <row r="49" spans="11:19" x14ac:dyDescent="0.15">
      <c r="K49" s="34"/>
      <c r="O49" s="34"/>
      <c r="S49" s="34"/>
    </row>
    <row r="50" spans="11:19" x14ac:dyDescent="0.15">
      <c r="K50" s="34"/>
      <c r="O50" s="34"/>
      <c r="S50" s="34"/>
    </row>
    <row r="51" spans="11:19" x14ac:dyDescent="0.15">
      <c r="K51" s="34"/>
      <c r="O51" s="34"/>
      <c r="S51" s="34"/>
    </row>
    <row r="52" spans="11:19" x14ac:dyDescent="0.15">
      <c r="K52" s="34"/>
      <c r="O52" s="34"/>
      <c r="S52" s="34"/>
    </row>
    <row r="53" spans="11:19" x14ac:dyDescent="0.15">
      <c r="K53" s="34"/>
      <c r="O53" s="34"/>
      <c r="S53" s="34"/>
    </row>
    <row r="54" spans="11:19" x14ac:dyDescent="0.15">
      <c r="K54" s="34"/>
      <c r="O54" s="34"/>
      <c r="S54" s="34"/>
    </row>
    <row r="55" spans="11:19" x14ac:dyDescent="0.15">
      <c r="K55" s="34"/>
      <c r="O55" s="34"/>
      <c r="S55" s="34"/>
    </row>
    <row r="56" spans="11:19" x14ac:dyDescent="0.15">
      <c r="K56" s="34"/>
      <c r="O56" s="34"/>
      <c r="S56" s="34"/>
    </row>
    <row r="57" spans="11:19" x14ac:dyDescent="0.15">
      <c r="K57" s="34"/>
      <c r="O57" s="34"/>
      <c r="S57" s="34"/>
    </row>
    <row r="58" spans="11:19" x14ac:dyDescent="0.15">
      <c r="K58" s="34"/>
      <c r="O58" s="34"/>
      <c r="S58" s="34"/>
    </row>
  </sheetData>
  <autoFilter ref="A2:AA46" xr:uid="{FDBDA833-7655-4E97-9334-00B390F90516}"/>
  <mergeCells count="1">
    <mergeCell ref="A45:F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82DA-F914-451C-BDB1-5D7030ABC6FF}">
  <dimension ref="A1:AH81"/>
  <sheetViews>
    <sheetView zoomScaleNormal="100" workbookViewId="0">
      <pane xSplit="7" ySplit="4" topLeftCell="R5" activePane="bottomRight" state="frozen"/>
      <selection pane="topRight" activeCell="H1" sqref="H1"/>
      <selection pane="bottomLeft" activeCell="A4" sqref="A4"/>
      <selection pane="bottomRight" activeCell="C1" sqref="C1"/>
    </sheetView>
  </sheetViews>
  <sheetFormatPr baseColWidth="10" defaultColWidth="8.796875" defaultRowHeight="12" outlineLevelCol="1" x14ac:dyDescent="0.15"/>
  <cols>
    <col min="1" max="2" width="8.796875" style="37"/>
    <col min="3" max="3" width="50.796875" style="37" customWidth="1"/>
    <col min="4" max="4" width="8.796875" style="37"/>
    <col min="5" max="6" width="9.3984375" style="37" bestFit="1" customWidth="1"/>
    <col min="7" max="7" width="9.3984375" style="37" customWidth="1"/>
    <col min="8" max="10" width="13.59765625" style="37" hidden="1" customWidth="1" outlineLevel="1"/>
    <col min="11" max="11" width="9" style="37" hidden="1" customWidth="1" outlineLevel="1"/>
    <col min="12" max="12" width="13.59765625" style="37" hidden="1" customWidth="1" outlineLevel="1" collapsed="1"/>
    <col min="13" max="14" width="13.59765625" style="37" hidden="1" customWidth="1" outlineLevel="1"/>
    <col min="15" max="15" width="8.796875" style="37" hidden="1" customWidth="1" outlineLevel="1"/>
    <col min="16" max="17" width="14.59765625" style="37" hidden="1" customWidth="1" outlineLevel="1"/>
    <col min="18" max="18" width="13.59765625" style="37" hidden="1" customWidth="1" outlineLevel="1"/>
    <col min="19" max="19" width="8.796875" style="37" hidden="1" customWidth="1" outlineLevel="1"/>
    <col min="20" max="20" width="14.59765625" style="37" bestFit="1" customWidth="1" collapsed="1"/>
    <col min="21" max="21" width="14.59765625" style="37" bestFit="1" customWidth="1"/>
    <col min="22" max="22" width="13.59765625" style="37" bestFit="1" customWidth="1"/>
    <col min="23" max="23" width="8.796875" style="37" customWidth="1"/>
    <col min="24" max="24" width="15.3984375" style="41" bestFit="1" customWidth="1"/>
    <col min="25" max="25" width="13.59765625" style="37" bestFit="1" customWidth="1"/>
    <col min="26" max="26" width="15.3984375" style="37" bestFit="1" customWidth="1"/>
    <col min="27" max="27" width="11" style="37" bestFit="1" customWidth="1"/>
    <col min="28" max="28" width="11.59765625" style="37" bestFit="1" customWidth="1"/>
    <col min="29" max="29" width="8.796875" style="37"/>
    <col min="30" max="30" width="11.59765625" style="37" bestFit="1" customWidth="1"/>
    <col min="31" max="31" width="8.796875" style="37"/>
    <col min="32" max="32" width="11.59765625" style="37" bestFit="1" customWidth="1"/>
    <col min="33" max="33" width="8.796875" style="37"/>
    <col min="34" max="34" width="11.59765625" style="37" bestFit="1" customWidth="1"/>
    <col min="35" max="16384" width="8.796875" style="37"/>
  </cols>
  <sheetData>
    <row r="1" spans="1:27" s="166" customFormat="1" ht="18.5" customHeight="1" x14ac:dyDescent="0.2">
      <c r="C1" s="166" t="s">
        <v>320</v>
      </c>
      <c r="H1" s="167">
        <f>H2+H48</f>
        <v>7385884.1059999987</v>
      </c>
      <c r="I1" s="167">
        <f>I2+I48</f>
        <v>5962008.9079999998</v>
      </c>
      <c r="J1" s="167">
        <f>H1-I1</f>
        <v>1423875.1979999989</v>
      </c>
      <c r="K1" s="52">
        <f>J1/H1*100%</f>
        <v>0.19278331172882868</v>
      </c>
      <c r="L1" s="167">
        <f>L2+L48</f>
        <v>9109312.5985000003</v>
      </c>
      <c r="M1" s="167">
        <f>M2+M48</f>
        <v>7879316.9959999993</v>
      </c>
      <c r="N1" s="167">
        <f>L1-M1</f>
        <v>1229995.602500001</v>
      </c>
      <c r="O1" s="52">
        <f>N1/L1*100%</f>
        <v>0.13502617120665505</v>
      </c>
      <c r="P1" s="167">
        <f>P2+P48</f>
        <v>12795550.095499998</v>
      </c>
      <c r="Q1" s="167">
        <f>Q2+Q48</f>
        <v>10560170.4135</v>
      </c>
      <c r="R1" s="167">
        <f>P1-Q1</f>
        <v>2235379.6819999982</v>
      </c>
      <c r="S1" s="52">
        <f>R1/P1*100%</f>
        <v>0.17469977182037275</v>
      </c>
      <c r="T1" s="167">
        <f>T2+T48</f>
        <v>13997975.770500001</v>
      </c>
      <c r="U1" s="167">
        <f>U2+U48</f>
        <v>11398688.5145</v>
      </c>
      <c r="V1" s="167">
        <f>T1-U1</f>
        <v>2599287.256000001</v>
      </c>
      <c r="W1" s="52">
        <f>V1/T1*100%</f>
        <v>0.18569022397351639</v>
      </c>
      <c r="X1" s="168"/>
    </row>
    <row r="2" spans="1:27" x14ac:dyDescent="0.15">
      <c r="H2" s="201">
        <f>H3*1.55</f>
        <v>5376396.6344999988</v>
      </c>
      <c r="I2" s="162">
        <f t="shared" ref="I2" si="0">I3*1.55</f>
        <v>4600165.733</v>
      </c>
      <c r="J2" s="162">
        <f>H2-I2</f>
        <v>776230.90149999876</v>
      </c>
      <c r="K2" s="163">
        <f>J2/H2*100%</f>
        <v>0.14437753653050334</v>
      </c>
      <c r="L2" s="162">
        <f>L3*1.55</f>
        <v>6946597.8620000007</v>
      </c>
      <c r="M2" s="162">
        <f t="shared" ref="M2" si="1">M3*1.55</f>
        <v>6396821.681499999</v>
      </c>
      <c r="N2" s="162">
        <f>L2-M2</f>
        <v>549776.18050000165</v>
      </c>
      <c r="O2" s="163">
        <f>N2/L2*100%</f>
        <v>7.9143228299919918E-2</v>
      </c>
      <c r="P2" s="162">
        <f>P3*1.55</f>
        <v>9866055.6444999985</v>
      </c>
      <c r="Q2" s="162">
        <f>Q3*1.55</f>
        <v>8351775.0225000009</v>
      </c>
      <c r="R2" s="162">
        <f>P2-Q2</f>
        <v>1514280.6219999976</v>
      </c>
      <c r="S2" s="163">
        <f>R2/P2*100%</f>
        <v>0.1534838923034211</v>
      </c>
      <c r="T2" s="162">
        <f>T3*1.55</f>
        <v>11079087.845500002</v>
      </c>
      <c r="U2" s="162">
        <f>U3*1.55</f>
        <v>9258157.9205000009</v>
      </c>
      <c r="V2" s="162">
        <f>T2-U2</f>
        <v>1820929.9250000007</v>
      </c>
      <c r="W2" s="163">
        <f>V2/T2*100%</f>
        <v>0.16435738667237021</v>
      </c>
      <c r="X2" s="168" t="s">
        <v>388</v>
      </c>
    </row>
    <row r="3" spans="1:27" x14ac:dyDescent="0.15">
      <c r="H3" s="164">
        <f>SUBTOTAL(9,H6:H29)</f>
        <v>3468642.9899999993</v>
      </c>
      <c r="I3" s="164">
        <f>SUBTOTAL(9,I6:I29)</f>
        <v>2967848.86</v>
      </c>
      <c r="J3" s="164">
        <f>H3-I3</f>
        <v>500794.12999999942</v>
      </c>
      <c r="K3" s="163">
        <f>J3/H3*100%</f>
        <v>0.14437753653050339</v>
      </c>
      <c r="L3" s="164">
        <f>SUBTOTAL(9,L6:L32)</f>
        <v>4481676.04</v>
      </c>
      <c r="M3" s="164">
        <f>SUBTOTAL(9,M6:M32)</f>
        <v>4126981.7299999995</v>
      </c>
      <c r="N3" s="164">
        <f>L3-M3</f>
        <v>354694.31000000052</v>
      </c>
      <c r="O3" s="163">
        <f>N3/L3*100%</f>
        <v>7.9143228299919807E-2</v>
      </c>
      <c r="P3" s="164">
        <f>SUBTOTAL(9,P6:P41)</f>
        <v>6365197.1899999985</v>
      </c>
      <c r="Q3" s="164">
        <f>SUBTOTAL(9,Q6:Q41)</f>
        <v>5388241.9500000002</v>
      </c>
      <c r="R3" s="164">
        <f>P3-Q3</f>
        <v>976955.23999999836</v>
      </c>
      <c r="S3" s="163">
        <f>R3/P3*100%</f>
        <v>0.1534838923034211</v>
      </c>
      <c r="T3" s="164">
        <f>SUBTOTAL(9,T6:T45)</f>
        <v>7147798.6100000003</v>
      </c>
      <c r="U3" s="164">
        <f>SUBTOTAL(9,U6:U45)</f>
        <v>5973005.1100000003</v>
      </c>
      <c r="V3" s="164">
        <f>T3-U3</f>
        <v>1174793.5</v>
      </c>
      <c r="W3" s="163">
        <f>V3/T3*100%</f>
        <v>0.16435738667237015</v>
      </c>
      <c r="X3" s="168" t="s">
        <v>354</v>
      </c>
      <c r="Y3" s="71"/>
    </row>
    <row r="4" spans="1:27" ht="39" x14ac:dyDescent="0.15">
      <c r="A4" s="42" t="s">
        <v>5</v>
      </c>
      <c r="B4" s="42" t="s">
        <v>0</v>
      </c>
      <c r="C4" s="42" t="s">
        <v>1</v>
      </c>
      <c r="D4" s="42" t="s">
        <v>4</v>
      </c>
      <c r="E4" s="42" t="s">
        <v>2</v>
      </c>
      <c r="F4" s="42" t="s">
        <v>3</v>
      </c>
      <c r="G4" s="154" t="s">
        <v>300</v>
      </c>
      <c r="H4" s="43" t="s">
        <v>338</v>
      </c>
      <c r="I4" s="43" t="s">
        <v>339</v>
      </c>
      <c r="J4" s="43" t="s">
        <v>318</v>
      </c>
      <c r="K4" s="43" t="s">
        <v>129</v>
      </c>
      <c r="L4" s="43" t="s">
        <v>334</v>
      </c>
      <c r="M4" s="43" t="s">
        <v>335</v>
      </c>
      <c r="N4" s="43" t="s">
        <v>319</v>
      </c>
      <c r="O4" s="43" t="s">
        <v>195</v>
      </c>
      <c r="P4" s="43" t="s">
        <v>336</v>
      </c>
      <c r="Q4" s="43" t="s">
        <v>337</v>
      </c>
      <c r="R4" s="43" t="s">
        <v>327</v>
      </c>
      <c r="S4" s="43" t="s">
        <v>328</v>
      </c>
      <c r="T4" s="170" t="s">
        <v>376</v>
      </c>
      <c r="U4" s="170" t="s">
        <v>377</v>
      </c>
      <c r="V4" s="170" t="s">
        <v>329</v>
      </c>
      <c r="W4" s="170" t="s">
        <v>330</v>
      </c>
      <c r="X4" s="44" t="s">
        <v>125</v>
      </c>
      <c r="Y4" s="44" t="s">
        <v>128</v>
      </c>
      <c r="Z4" s="39" t="s">
        <v>322</v>
      </c>
    </row>
    <row r="5" spans="1:27" x14ac:dyDescent="0.15">
      <c r="A5" s="37" t="s">
        <v>13</v>
      </c>
      <c r="B5" s="37" t="s">
        <v>14</v>
      </c>
      <c r="C5" s="37" t="s">
        <v>9</v>
      </c>
      <c r="D5" s="37" t="s">
        <v>10</v>
      </c>
      <c r="E5" s="38">
        <v>44011</v>
      </c>
      <c r="F5" s="38">
        <v>46387</v>
      </c>
      <c r="G5" s="155">
        <v>0</v>
      </c>
      <c r="H5" s="153">
        <v>0</v>
      </c>
      <c r="I5" s="45">
        <v>155544.35</v>
      </c>
      <c r="J5" s="45">
        <f t="shared" ref="J5:J29" si="2">H5-I5</f>
        <v>-155544.35</v>
      </c>
      <c r="K5" s="46" t="e">
        <f>J5/H5*100%</f>
        <v>#DIV/0!</v>
      </c>
      <c r="L5" s="169">
        <v>0</v>
      </c>
      <c r="M5" s="169">
        <v>121343.78</v>
      </c>
      <c r="N5" s="45">
        <f>L5-M5</f>
        <v>-121343.78</v>
      </c>
      <c r="O5" s="46" t="e">
        <f>N5/L5*100%</f>
        <v>#DIV/0!</v>
      </c>
      <c r="P5" s="169">
        <v>0</v>
      </c>
      <c r="Q5" s="169">
        <v>353765.44</v>
      </c>
      <c r="R5" s="45">
        <f>P5-Q5</f>
        <v>-353765.44</v>
      </c>
      <c r="S5" s="46" t="e">
        <f>R5/P5*100%</f>
        <v>#DIV/0!</v>
      </c>
      <c r="T5" s="176">
        <v>0</v>
      </c>
      <c r="U5" s="176">
        <v>235551.05</v>
      </c>
      <c r="V5" s="173">
        <f>T5-U5</f>
        <v>-235551.05</v>
      </c>
      <c r="W5" s="171" t="e">
        <f>V5/T5*100%</f>
        <v>#DIV/0!</v>
      </c>
      <c r="X5" s="47" t="s">
        <v>133</v>
      </c>
      <c r="Y5" s="32"/>
    </row>
    <row r="6" spans="1:27" x14ac:dyDescent="0.15">
      <c r="A6" s="37" t="s">
        <v>13</v>
      </c>
      <c r="B6" s="37" t="s">
        <v>41</v>
      </c>
      <c r="C6" s="37" t="s">
        <v>42</v>
      </c>
      <c r="D6" s="37" t="s">
        <v>8</v>
      </c>
      <c r="E6" s="38">
        <v>45047</v>
      </c>
      <c r="F6" s="38">
        <v>45656</v>
      </c>
      <c r="G6" s="155">
        <v>0.24421480000000001</v>
      </c>
      <c r="H6" s="153">
        <v>0</v>
      </c>
      <c r="I6" s="45">
        <v>58.3</v>
      </c>
      <c r="J6" s="45">
        <f t="shared" si="2"/>
        <v>-58.3</v>
      </c>
      <c r="K6" s="46" t="e">
        <f t="shared" ref="K6:K29" si="3">J6/H6*100%</f>
        <v>#DIV/0!</v>
      </c>
      <c r="L6" s="169">
        <v>0</v>
      </c>
      <c r="M6" s="169">
        <v>0</v>
      </c>
      <c r="N6" s="45">
        <f t="shared" ref="N6:N32" si="4">L6-M6</f>
        <v>0</v>
      </c>
      <c r="O6" s="46" t="e">
        <f t="shared" ref="O6:O46" si="5">N6/L6*100%</f>
        <v>#DIV/0!</v>
      </c>
      <c r="P6" s="169"/>
      <c r="Q6" s="169"/>
      <c r="R6" s="45">
        <f t="shared" ref="R6:R34" si="6">P6-Q6</f>
        <v>0</v>
      </c>
      <c r="S6" s="46" t="e">
        <f t="shared" ref="S6:S46" si="7">R6/P6*100%</f>
        <v>#DIV/0!</v>
      </c>
      <c r="T6" s="176"/>
      <c r="U6" s="176"/>
      <c r="V6" s="173">
        <f t="shared" ref="V6:V41" si="8">T6-U6</f>
        <v>0</v>
      </c>
      <c r="W6" s="171" t="e">
        <f t="shared" ref="W6:W41" si="9">V6/T6*100%</f>
        <v>#DIV/0!</v>
      </c>
      <c r="X6" s="47" t="s">
        <v>126</v>
      </c>
      <c r="Y6" s="32"/>
    </row>
    <row r="7" spans="1:27" x14ac:dyDescent="0.15">
      <c r="A7" s="37" t="s">
        <v>13</v>
      </c>
      <c r="B7" s="37" t="s">
        <v>45</v>
      </c>
      <c r="C7" s="37" t="s">
        <v>46</v>
      </c>
      <c r="D7" s="37" t="s">
        <v>8</v>
      </c>
      <c r="E7" s="38">
        <v>45151</v>
      </c>
      <c r="F7" s="38">
        <v>45835</v>
      </c>
      <c r="G7" s="155">
        <v>0.19825738000000001</v>
      </c>
      <c r="H7" s="153">
        <v>137674.1</v>
      </c>
      <c r="I7" s="45">
        <v>95052.79</v>
      </c>
      <c r="J7" s="45">
        <f t="shared" si="2"/>
        <v>42621.310000000012</v>
      </c>
      <c r="K7" s="46">
        <f t="shared" si="3"/>
        <v>0.30958117757806303</v>
      </c>
      <c r="L7" s="169">
        <v>301290.88</v>
      </c>
      <c r="M7" s="169">
        <v>261475.19</v>
      </c>
      <c r="N7" s="45">
        <f t="shared" si="4"/>
        <v>39815.69</v>
      </c>
      <c r="O7" s="46">
        <f t="shared" si="5"/>
        <v>0.13215033259553027</v>
      </c>
      <c r="P7" s="169">
        <v>-446.96</v>
      </c>
      <c r="Q7" s="169">
        <v>-4640.4399999999996</v>
      </c>
      <c r="R7" s="45">
        <f t="shared" si="6"/>
        <v>4193.4799999999996</v>
      </c>
      <c r="S7" s="46">
        <f t="shared" si="7"/>
        <v>-9.3822265974583843</v>
      </c>
      <c r="T7" s="176"/>
      <c r="U7" s="176"/>
      <c r="V7" s="173">
        <f t="shared" si="8"/>
        <v>0</v>
      </c>
      <c r="W7" s="171" t="e">
        <f t="shared" si="9"/>
        <v>#DIV/0!</v>
      </c>
      <c r="X7" s="47" t="s">
        <v>127</v>
      </c>
      <c r="Y7" s="32"/>
      <c r="Z7" s="71"/>
    </row>
    <row r="8" spans="1:27" x14ac:dyDescent="0.15">
      <c r="A8" s="37" t="s">
        <v>13</v>
      </c>
      <c r="B8" s="37" t="s">
        <v>49</v>
      </c>
      <c r="C8" s="37" t="s">
        <v>50</v>
      </c>
      <c r="D8" s="37" t="s">
        <v>8</v>
      </c>
      <c r="E8" s="38">
        <v>45245</v>
      </c>
      <c r="F8" s="38">
        <v>45869</v>
      </c>
      <c r="G8" s="155">
        <v>0.19586316000000001</v>
      </c>
      <c r="H8" s="153">
        <v>147491.60999999999</v>
      </c>
      <c r="I8" s="45">
        <v>98302.31</v>
      </c>
      <c r="J8" s="45">
        <f t="shared" si="2"/>
        <v>49189.299999999988</v>
      </c>
      <c r="K8" s="46">
        <f t="shared" si="3"/>
        <v>0.33350574992028353</v>
      </c>
      <c r="L8" s="169">
        <v>128822.37</v>
      </c>
      <c r="M8" s="169">
        <v>117340.5</v>
      </c>
      <c r="N8" s="45">
        <f t="shared" si="4"/>
        <v>11481.869999999995</v>
      </c>
      <c r="O8" s="46">
        <f t="shared" si="5"/>
        <v>8.912947339813726E-2</v>
      </c>
      <c r="P8" s="169">
        <v>271788.96999999997</v>
      </c>
      <c r="Q8" s="169">
        <v>55887.45</v>
      </c>
      <c r="R8" s="45">
        <f t="shared" si="6"/>
        <v>215901.51999999996</v>
      </c>
      <c r="S8" s="46">
        <f t="shared" si="7"/>
        <v>0.79437189816790577</v>
      </c>
      <c r="T8" s="176">
        <v>-291.33</v>
      </c>
      <c r="U8" s="176">
        <v>665.52</v>
      </c>
      <c r="V8" s="173">
        <f t="shared" si="8"/>
        <v>-956.84999999999991</v>
      </c>
      <c r="W8" s="171">
        <f t="shared" si="9"/>
        <v>3.2844197302028628</v>
      </c>
      <c r="X8" s="47" t="s">
        <v>127</v>
      </c>
      <c r="Y8" s="32"/>
      <c r="Z8" s="71"/>
    </row>
    <row r="9" spans="1:27" x14ac:dyDescent="0.15">
      <c r="A9" s="37" t="s">
        <v>13</v>
      </c>
      <c r="B9" s="37" t="s">
        <v>53</v>
      </c>
      <c r="C9" s="37" t="s">
        <v>54</v>
      </c>
      <c r="D9" s="37" t="s">
        <v>8</v>
      </c>
      <c r="E9" s="38">
        <v>45243</v>
      </c>
      <c r="F9" s="38">
        <v>45656</v>
      </c>
      <c r="G9" s="155">
        <v>0.22407951000000001</v>
      </c>
      <c r="H9" s="153">
        <v>-2735.5</v>
      </c>
      <c r="I9" s="45">
        <v>2116.0500000000002</v>
      </c>
      <c r="J9" s="45">
        <f t="shared" si="2"/>
        <v>-4851.55</v>
      </c>
      <c r="K9" s="46">
        <f t="shared" si="3"/>
        <v>1.7735514531164323</v>
      </c>
      <c r="L9" s="169">
        <v>0</v>
      </c>
      <c r="M9" s="169">
        <v>0</v>
      </c>
      <c r="N9" s="45">
        <f t="shared" si="4"/>
        <v>0</v>
      </c>
      <c r="O9" s="46" t="e">
        <f t="shared" si="5"/>
        <v>#DIV/0!</v>
      </c>
      <c r="P9" s="169">
        <v>0</v>
      </c>
      <c r="Q9" s="169">
        <v>0</v>
      </c>
      <c r="R9" s="45">
        <f t="shared" si="6"/>
        <v>0</v>
      </c>
      <c r="S9" s="46" t="e">
        <f t="shared" si="7"/>
        <v>#DIV/0!</v>
      </c>
      <c r="T9" s="176"/>
      <c r="U9" s="176"/>
      <c r="V9" s="173">
        <f t="shared" si="8"/>
        <v>0</v>
      </c>
      <c r="W9" s="171" t="e">
        <f t="shared" si="9"/>
        <v>#DIV/0!</v>
      </c>
      <c r="X9" s="47" t="s">
        <v>127</v>
      </c>
      <c r="Y9" s="32"/>
    </row>
    <row r="10" spans="1:27" x14ac:dyDescent="0.15">
      <c r="A10" s="37" t="s">
        <v>13</v>
      </c>
      <c r="B10" s="37" t="s">
        <v>57</v>
      </c>
      <c r="C10" s="37" t="s">
        <v>58</v>
      </c>
      <c r="D10" s="37" t="s">
        <v>8</v>
      </c>
      <c r="E10" s="38">
        <v>45250</v>
      </c>
      <c r="F10" s="38">
        <v>45657</v>
      </c>
      <c r="G10" s="155">
        <v>0.22724077000000001</v>
      </c>
      <c r="H10" s="153">
        <v>1810.65</v>
      </c>
      <c r="I10" s="45">
        <v>2356.16</v>
      </c>
      <c r="J10" s="45">
        <f t="shared" si="2"/>
        <v>-545.50999999999976</v>
      </c>
      <c r="K10" s="46">
        <f t="shared" si="3"/>
        <v>-0.30127854637837226</v>
      </c>
      <c r="L10" s="169">
        <v>0</v>
      </c>
      <c r="M10" s="169">
        <v>0</v>
      </c>
      <c r="N10" s="45">
        <f t="shared" si="4"/>
        <v>0</v>
      </c>
      <c r="O10" s="46" t="e">
        <f t="shared" si="5"/>
        <v>#DIV/0!</v>
      </c>
      <c r="P10" s="169">
        <v>0</v>
      </c>
      <c r="Q10" s="169">
        <v>0</v>
      </c>
      <c r="R10" s="45">
        <f t="shared" si="6"/>
        <v>0</v>
      </c>
      <c r="S10" s="46" t="e">
        <f t="shared" si="7"/>
        <v>#DIV/0!</v>
      </c>
      <c r="T10" s="176"/>
      <c r="U10" s="176"/>
      <c r="V10" s="173">
        <f t="shared" si="8"/>
        <v>0</v>
      </c>
      <c r="W10" s="171" t="e">
        <f t="shared" si="9"/>
        <v>#DIV/0!</v>
      </c>
      <c r="X10" s="47" t="s">
        <v>127</v>
      </c>
      <c r="Y10" s="32"/>
    </row>
    <row r="11" spans="1:27" x14ac:dyDescent="0.15">
      <c r="A11" s="37" t="s">
        <v>13</v>
      </c>
      <c r="B11" s="37" t="s">
        <v>61</v>
      </c>
      <c r="C11" s="37" t="s">
        <v>62</v>
      </c>
      <c r="D11" s="37" t="s">
        <v>8</v>
      </c>
      <c r="E11" s="38">
        <v>45292</v>
      </c>
      <c r="F11" s="38">
        <v>45646</v>
      </c>
      <c r="G11" s="155">
        <v>0.26356512999999998</v>
      </c>
      <c r="H11" s="153">
        <v>-1004</v>
      </c>
      <c r="I11" s="45">
        <v>-1173.33</v>
      </c>
      <c r="J11" s="45">
        <f t="shared" si="2"/>
        <v>169.32999999999993</v>
      </c>
      <c r="K11" s="46">
        <f t="shared" si="3"/>
        <v>-0.16865537848605572</v>
      </c>
      <c r="L11" s="169">
        <v>0</v>
      </c>
      <c r="M11" s="169">
        <v>0</v>
      </c>
      <c r="N11" s="45">
        <f t="shared" si="4"/>
        <v>0</v>
      </c>
      <c r="O11" s="46" t="e">
        <f t="shared" si="5"/>
        <v>#DIV/0!</v>
      </c>
      <c r="P11" s="169">
        <v>0</v>
      </c>
      <c r="Q11" s="169">
        <v>0</v>
      </c>
      <c r="R11" s="45">
        <f t="shared" si="6"/>
        <v>0</v>
      </c>
      <c r="S11" s="46" t="e">
        <f t="shared" si="7"/>
        <v>#DIV/0!</v>
      </c>
      <c r="T11" s="176"/>
      <c r="U11" s="176"/>
      <c r="V11" s="173">
        <f t="shared" si="8"/>
        <v>0</v>
      </c>
      <c r="W11" s="171" t="e">
        <f t="shared" si="9"/>
        <v>#DIV/0!</v>
      </c>
      <c r="X11" s="47" t="s">
        <v>126</v>
      </c>
      <c r="Y11" s="32"/>
    </row>
    <row r="12" spans="1:27" x14ac:dyDescent="0.15">
      <c r="A12" s="37" t="s">
        <v>13</v>
      </c>
      <c r="B12" s="37" t="s">
        <v>63</v>
      </c>
      <c r="C12" s="37" t="s">
        <v>64</v>
      </c>
      <c r="D12" s="37" t="s">
        <v>10</v>
      </c>
      <c r="E12" s="38">
        <v>45257</v>
      </c>
      <c r="F12" s="38">
        <v>46022</v>
      </c>
      <c r="G12" s="155">
        <v>0.18929760000000001</v>
      </c>
      <c r="H12" s="153">
        <v>283590.94</v>
      </c>
      <c r="I12" s="45">
        <v>226219.85</v>
      </c>
      <c r="J12" s="45">
        <f t="shared" si="2"/>
        <v>57371.09</v>
      </c>
      <c r="K12" s="46">
        <f t="shared" si="3"/>
        <v>0.20230226677904448</v>
      </c>
      <c r="L12" s="169">
        <v>213312.55</v>
      </c>
      <c r="M12" s="169">
        <v>202168.51</v>
      </c>
      <c r="N12" s="45">
        <f t="shared" si="4"/>
        <v>11144.039999999979</v>
      </c>
      <c r="O12" s="46">
        <f t="shared" si="5"/>
        <v>5.2242777089299149E-2</v>
      </c>
      <c r="P12" s="169">
        <v>243971.06</v>
      </c>
      <c r="Q12" s="169">
        <v>209252.32</v>
      </c>
      <c r="R12" s="45">
        <f t="shared" si="6"/>
        <v>34718.739999999991</v>
      </c>
      <c r="S12" s="46">
        <f t="shared" si="7"/>
        <v>0.14230679655201725</v>
      </c>
      <c r="T12" s="176">
        <v>418815.72</v>
      </c>
      <c r="U12" s="176">
        <v>324213.01</v>
      </c>
      <c r="V12" s="173">
        <f t="shared" si="8"/>
        <v>94602.709999999963</v>
      </c>
      <c r="W12" s="171">
        <f t="shared" si="9"/>
        <v>0.22588146882356749</v>
      </c>
      <c r="X12" s="47" t="s">
        <v>127</v>
      </c>
      <c r="Y12" s="32"/>
    </row>
    <row r="13" spans="1:27" x14ac:dyDescent="0.15">
      <c r="A13" s="37" t="s">
        <v>13</v>
      </c>
      <c r="B13" s="37" t="s">
        <v>65</v>
      </c>
      <c r="C13" s="37" t="s">
        <v>66</v>
      </c>
      <c r="D13" s="37" t="s">
        <v>8</v>
      </c>
      <c r="E13" s="38">
        <v>45323</v>
      </c>
      <c r="F13" s="38">
        <v>45674</v>
      </c>
      <c r="G13" s="155">
        <v>0.22141980999999999</v>
      </c>
      <c r="H13" s="153">
        <v>164805.76000000001</v>
      </c>
      <c r="I13" s="45">
        <v>110139.93</v>
      </c>
      <c r="J13" s="45">
        <f t="shared" si="2"/>
        <v>54665.830000000016</v>
      </c>
      <c r="K13" s="46">
        <f t="shared" si="3"/>
        <v>0.3316985401481114</v>
      </c>
      <c r="L13" s="169">
        <v>0</v>
      </c>
      <c r="M13" s="169">
        <v>0</v>
      </c>
      <c r="N13" s="45">
        <f t="shared" si="4"/>
        <v>0</v>
      </c>
      <c r="O13" s="46" t="e">
        <f t="shared" si="5"/>
        <v>#DIV/0!</v>
      </c>
      <c r="P13" s="169">
        <v>0</v>
      </c>
      <c r="Q13" s="169">
        <v>0</v>
      </c>
      <c r="R13" s="45">
        <f t="shared" si="6"/>
        <v>0</v>
      </c>
      <c r="S13" s="46" t="e">
        <f t="shared" si="7"/>
        <v>#DIV/0!</v>
      </c>
      <c r="T13" s="176"/>
      <c r="U13" s="176"/>
      <c r="V13" s="173">
        <f t="shared" si="8"/>
        <v>0</v>
      </c>
      <c r="W13" s="171" t="e">
        <f t="shared" si="9"/>
        <v>#DIV/0!</v>
      </c>
      <c r="X13" s="47" t="s">
        <v>127</v>
      </c>
      <c r="Y13" s="32"/>
    </row>
    <row r="14" spans="1:27" x14ac:dyDescent="0.15">
      <c r="A14" s="37" t="s">
        <v>13</v>
      </c>
      <c r="B14" s="37" t="s">
        <v>67</v>
      </c>
      <c r="C14" s="37" t="s">
        <v>345</v>
      </c>
      <c r="D14" s="37" t="s">
        <v>10</v>
      </c>
      <c r="E14" s="38">
        <v>45352</v>
      </c>
      <c r="F14" s="38">
        <v>46387</v>
      </c>
      <c r="G14" s="155">
        <v>0.25161156000000001</v>
      </c>
      <c r="H14" s="153">
        <v>26745.4</v>
      </c>
      <c r="I14" s="45">
        <v>14244.96</v>
      </c>
      <c r="J14" s="45">
        <f t="shared" si="2"/>
        <v>12500.440000000002</v>
      </c>
      <c r="K14" s="46">
        <f t="shared" si="3"/>
        <v>0.4673865412369978</v>
      </c>
      <c r="L14" s="169">
        <v>454814.69</v>
      </c>
      <c r="M14" s="169">
        <v>400449.32</v>
      </c>
      <c r="N14" s="45">
        <f t="shared" si="4"/>
        <v>54365.369999999995</v>
      </c>
      <c r="O14" s="46">
        <f t="shared" si="5"/>
        <v>0.11953301244513451</v>
      </c>
      <c r="P14" s="169">
        <v>238288.17</v>
      </c>
      <c r="Q14" s="169">
        <v>161486.76</v>
      </c>
      <c r="R14" s="45">
        <f t="shared" si="6"/>
        <v>76801.41</v>
      </c>
      <c r="S14" s="46">
        <f t="shared" si="7"/>
        <v>0.32230475394561131</v>
      </c>
      <c r="T14" s="176">
        <v>0</v>
      </c>
      <c r="U14" s="176">
        <v>2179.8000000000002</v>
      </c>
      <c r="V14" s="173">
        <f t="shared" si="8"/>
        <v>-2179.8000000000002</v>
      </c>
      <c r="W14" s="171" t="e">
        <f t="shared" si="9"/>
        <v>#DIV/0!</v>
      </c>
      <c r="X14" s="47" t="s">
        <v>127</v>
      </c>
      <c r="Y14" s="32" t="s">
        <v>369</v>
      </c>
    </row>
    <row r="15" spans="1:27" x14ac:dyDescent="0.15">
      <c r="A15" s="37" t="s">
        <v>13</v>
      </c>
      <c r="B15" s="37" t="s">
        <v>69</v>
      </c>
      <c r="C15" s="37" t="s">
        <v>70</v>
      </c>
      <c r="D15" s="37" t="s">
        <v>8</v>
      </c>
      <c r="E15" s="38">
        <v>45292</v>
      </c>
      <c r="F15" s="38">
        <v>45657</v>
      </c>
      <c r="G15" s="155">
        <v>0.28868078000000003</v>
      </c>
      <c r="H15" s="153">
        <v>2006.43</v>
      </c>
      <c r="I15" s="45">
        <v>951.58</v>
      </c>
      <c r="J15" s="45">
        <f t="shared" si="2"/>
        <v>1054.8499999999999</v>
      </c>
      <c r="K15" s="46">
        <f t="shared" si="3"/>
        <v>0.52573476273779796</v>
      </c>
      <c r="L15" s="169">
        <v>0</v>
      </c>
      <c r="M15" s="169">
        <v>0</v>
      </c>
      <c r="N15" s="45">
        <f t="shared" si="4"/>
        <v>0</v>
      </c>
      <c r="O15" s="46" t="e">
        <f t="shared" si="5"/>
        <v>#DIV/0!</v>
      </c>
      <c r="P15" s="169">
        <v>0</v>
      </c>
      <c r="Q15" s="169">
        <v>0</v>
      </c>
      <c r="R15" s="45">
        <f t="shared" si="6"/>
        <v>0</v>
      </c>
      <c r="S15" s="46" t="e">
        <f t="shared" si="7"/>
        <v>#DIV/0!</v>
      </c>
      <c r="T15" s="176"/>
      <c r="U15" s="176"/>
      <c r="V15" s="173">
        <f t="shared" si="8"/>
        <v>0</v>
      </c>
      <c r="W15" s="171" t="e">
        <f t="shared" si="9"/>
        <v>#DIV/0!</v>
      </c>
      <c r="X15" s="47" t="s">
        <v>127</v>
      </c>
      <c r="Y15" s="32"/>
      <c r="AA15" s="71"/>
    </row>
    <row r="16" spans="1:27" x14ac:dyDescent="0.15">
      <c r="A16" s="37" t="s">
        <v>13</v>
      </c>
      <c r="B16" s="37" t="s">
        <v>73</v>
      </c>
      <c r="C16" s="37" t="s">
        <v>134</v>
      </c>
      <c r="D16" s="37" t="s">
        <v>10</v>
      </c>
      <c r="E16" s="38">
        <v>45425</v>
      </c>
      <c r="F16" s="38">
        <v>45961</v>
      </c>
      <c r="G16" s="155">
        <v>0.12969251000000001</v>
      </c>
      <c r="H16" s="153">
        <v>1049317.05</v>
      </c>
      <c r="I16" s="45">
        <v>933989.14</v>
      </c>
      <c r="J16" s="45">
        <f t="shared" si="2"/>
        <v>115327.91000000003</v>
      </c>
      <c r="K16" s="46">
        <f t="shared" si="3"/>
        <v>0.1099075917998283</v>
      </c>
      <c r="L16" s="169">
        <v>1738292.92</v>
      </c>
      <c r="M16" s="169">
        <v>1681514.96</v>
      </c>
      <c r="N16" s="45">
        <f t="shared" si="4"/>
        <v>56777.959999999963</v>
      </c>
      <c r="O16" s="46">
        <f t="shared" si="5"/>
        <v>3.2663056580820665E-2</v>
      </c>
      <c r="P16" s="169">
        <v>1783860.15</v>
      </c>
      <c r="Q16" s="169">
        <v>1676087.13</v>
      </c>
      <c r="R16" s="45">
        <f t="shared" si="6"/>
        <v>107773.02000000002</v>
      </c>
      <c r="S16" s="46">
        <f t="shared" si="7"/>
        <v>6.0415621706667998E-2</v>
      </c>
      <c r="T16" s="176">
        <v>586551.07999999996</v>
      </c>
      <c r="U16" s="176">
        <v>590176.59</v>
      </c>
      <c r="V16" s="173">
        <f t="shared" si="8"/>
        <v>-3625.5100000000093</v>
      </c>
      <c r="W16" s="171">
        <f t="shared" si="9"/>
        <v>-6.1810644010748556E-3</v>
      </c>
      <c r="X16" s="47" t="s">
        <v>127</v>
      </c>
      <c r="Y16" s="32"/>
      <c r="Z16" s="50"/>
      <c r="AA16" s="70"/>
    </row>
    <row r="17" spans="1:34" x14ac:dyDescent="0.15">
      <c r="A17" s="37" t="s">
        <v>13</v>
      </c>
      <c r="B17" s="37" t="s">
        <v>75</v>
      </c>
      <c r="C17" s="37" t="s">
        <v>76</v>
      </c>
      <c r="D17" s="37" t="s">
        <v>8</v>
      </c>
      <c r="E17" s="38">
        <v>45453</v>
      </c>
      <c r="F17" s="38">
        <v>45646</v>
      </c>
      <c r="G17" s="155">
        <v>0.18987420999999999</v>
      </c>
      <c r="H17" s="153">
        <v>14856.67</v>
      </c>
      <c r="I17" s="45">
        <v>0</v>
      </c>
      <c r="J17" s="45">
        <f t="shared" si="2"/>
        <v>14856.67</v>
      </c>
      <c r="K17" s="46">
        <f t="shared" si="3"/>
        <v>1</v>
      </c>
      <c r="L17" s="169">
        <v>0</v>
      </c>
      <c r="M17" s="169">
        <v>0</v>
      </c>
      <c r="N17" s="45">
        <f t="shared" si="4"/>
        <v>0</v>
      </c>
      <c r="O17" s="46" t="e">
        <f t="shared" si="5"/>
        <v>#DIV/0!</v>
      </c>
      <c r="P17" s="169">
        <v>0</v>
      </c>
      <c r="Q17" s="169">
        <v>0</v>
      </c>
      <c r="R17" s="45">
        <f t="shared" si="6"/>
        <v>0</v>
      </c>
      <c r="S17" s="46" t="e">
        <f t="shared" si="7"/>
        <v>#DIV/0!</v>
      </c>
      <c r="T17" s="176"/>
      <c r="U17" s="176"/>
      <c r="V17" s="173">
        <f t="shared" si="8"/>
        <v>0</v>
      </c>
      <c r="W17" s="171" t="e">
        <f t="shared" si="9"/>
        <v>#DIV/0!</v>
      </c>
      <c r="X17" s="47" t="s">
        <v>127</v>
      </c>
      <c r="Y17" s="32"/>
      <c r="AD17" s="50"/>
      <c r="AF17" s="50"/>
      <c r="AH17" s="50"/>
    </row>
    <row r="18" spans="1:34" x14ac:dyDescent="0.15">
      <c r="A18" s="37" t="s">
        <v>13</v>
      </c>
      <c r="B18" s="37" t="s">
        <v>77</v>
      </c>
      <c r="C18" s="37" t="s">
        <v>78</v>
      </c>
      <c r="D18" s="37" t="s">
        <v>8</v>
      </c>
      <c r="E18" s="38">
        <v>45488</v>
      </c>
      <c r="F18" s="38">
        <v>45716</v>
      </c>
      <c r="G18" s="155">
        <v>0.21815075</v>
      </c>
      <c r="H18" s="153">
        <v>44911.23</v>
      </c>
      <c r="I18" s="45">
        <v>134817.09</v>
      </c>
      <c r="J18" s="45">
        <f t="shared" si="2"/>
        <v>-89905.859999999986</v>
      </c>
      <c r="K18" s="46">
        <f t="shared" si="3"/>
        <v>-2.0018569965685638</v>
      </c>
      <c r="L18" s="169">
        <v>0</v>
      </c>
      <c r="M18" s="169">
        <v>0.18</v>
      </c>
      <c r="N18" s="45">
        <f t="shared" si="4"/>
        <v>-0.18</v>
      </c>
      <c r="O18" s="46" t="e">
        <f t="shared" si="5"/>
        <v>#DIV/0!</v>
      </c>
      <c r="P18" s="169">
        <v>0</v>
      </c>
      <c r="Q18" s="169">
        <v>0</v>
      </c>
      <c r="R18" s="45">
        <f t="shared" si="6"/>
        <v>0</v>
      </c>
      <c r="S18" s="46" t="e">
        <f t="shared" si="7"/>
        <v>#DIV/0!</v>
      </c>
      <c r="T18" s="176"/>
      <c r="U18" s="176"/>
      <c r="V18" s="173">
        <f t="shared" si="8"/>
        <v>0</v>
      </c>
      <c r="W18" s="171" t="e">
        <f t="shared" si="9"/>
        <v>#DIV/0!</v>
      </c>
      <c r="X18" s="47" t="s">
        <v>126</v>
      </c>
      <c r="Y18" s="32"/>
      <c r="AD18" s="50"/>
      <c r="AF18" s="50"/>
      <c r="AH18" s="50"/>
    </row>
    <row r="19" spans="1:34" x14ac:dyDescent="0.15">
      <c r="A19" s="37" t="s">
        <v>13</v>
      </c>
      <c r="B19" s="37" t="s">
        <v>84</v>
      </c>
      <c r="C19" s="37" t="s">
        <v>85</v>
      </c>
      <c r="D19" s="37" t="s">
        <v>8</v>
      </c>
      <c r="E19" s="38">
        <v>45516</v>
      </c>
      <c r="F19" s="38">
        <v>45657</v>
      </c>
      <c r="G19" s="155">
        <v>-2.381144E-2</v>
      </c>
      <c r="H19" s="153">
        <v>86292.26</v>
      </c>
      <c r="I19" s="45">
        <v>319.05</v>
      </c>
      <c r="J19" s="45">
        <f t="shared" si="2"/>
        <v>85973.209999999992</v>
      </c>
      <c r="K19" s="46">
        <f t="shared" si="3"/>
        <v>0.99630268114428799</v>
      </c>
      <c r="L19" s="169">
        <v>0</v>
      </c>
      <c r="M19" s="169">
        <v>0</v>
      </c>
      <c r="N19" s="45">
        <f t="shared" si="4"/>
        <v>0</v>
      </c>
      <c r="O19" s="46" t="e">
        <f t="shared" si="5"/>
        <v>#DIV/0!</v>
      </c>
      <c r="P19" s="169">
        <v>0</v>
      </c>
      <c r="Q19" s="169">
        <v>0</v>
      </c>
      <c r="R19" s="45">
        <f t="shared" si="6"/>
        <v>0</v>
      </c>
      <c r="S19" s="46" t="e">
        <f t="shared" si="7"/>
        <v>#DIV/0!</v>
      </c>
      <c r="T19" s="176"/>
      <c r="U19" s="176"/>
      <c r="V19" s="173">
        <f t="shared" si="8"/>
        <v>0</v>
      </c>
      <c r="W19" s="171" t="e">
        <f t="shared" si="9"/>
        <v>#DIV/0!</v>
      </c>
      <c r="X19" s="47" t="s">
        <v>126</v>
      </c>
      <c r="Y19" s="32"/>
    </row>
    <row r="20" spans="1:34" x14ac:dyDescent="0.15">
      <c r="A20" s="37" t="s">
        <v>13</v>
      </c>
      <c r="B20" s="37" t="s">
        <v>88</v>
      </c>
      <c r="C20" s="37" t="s">
        <v>89</v>
      </c>
      <c r="D20" s="37" t="s">
        <v>10</v>
      </c>
      <c r="E20" s="38">
        <v>45566</v>
      </c>
      <c r="F20" s="38">
        <v>46022</v>
      </c>
      <c r="G20" s="155">
        <v>0.11988838</v>
      </c>
      <c r="H20" s="153">
        <v>90204.39</v>
      </c>
      <c r="I20" s="45">
        <v>124534.92</v>
      </c>
      <c r="J20" s="45">
        <f t="shared" si="2"/>
        <v>-34330.53</v>
      </c>
      <c r="K20" s="46">
        <f t="shared" si="3"/>
        <v>-0.38058602247628964</v>
      </c>
      <c r="L20" s="169">
        <v>58832.13</v>
      </c>
      <c r="M20" s="169">
        <v>45294.3</v>
      </c>
      <c r="N20" s="45">
        <f t="shared" si="4"/>
        <v>13537.829999999994</v>
      </c>
      <c r="O20" s="46">
        <f t="shared" si="5"/>
        <v>0.23010946569502064</v>
      </c>
      <c r="P20" s="169">
        <v>58832</v>
      </c>
      <c r="Q20" s="169">
        <v>85483.88</v>
      </c>
      <c r="R20" s="45">
        <f t="shared" si="6"/>
        <v>-26651.880000000005</v>
      </c>
      <c r="S20" s="46">
        <f t="shared" si="7"/>
        <v>-0.4530167255915149</v>
      </c>
      <c r="T20" s="176">
        <v>88248.5</v>
      </c>
      <c r="U20" s="176">
        <v>144194.76</v>
      </c>
      <c r="V20" s="173">
        <f t="shared" si="8"/>
        <v>-55946.260000000009</v>
      </c>
      <c r="W20" s="171">
        <f t="shared" si="9"/>
        <v>-0.63396273024470684</v>
      </c>
      <c r="X20" s="47" t="s">
        <v>126</v>
      </c>
      <c r="Y20" s="32" t="s">
        <v>370</v>
      </c>
      <c r="Z20" s="71"/>
      <c r="AD20" s="50"/>
      <c r="AF20" s="50"/>
      <c r="AH20" s="50"/>
    </row>
    <row r="21" spans="1:34" x14ac:dyDescent="0.15">
      <c r="A21" s="37" t="s">
        <v>13</v>
      </c>
      <c r="B21" s="37" t="s">
        <v>91</v>
      </c>
      <c r="C21" s="37" t="s">
        <v>92</v>
      </c>
      <c r="D21" s="37" t="s">
        <v>10</v>
      </c>
      <c r="E21" s="38">
        <v>45597</v>
      </c>
      <c r="F21" s="38">
        <v>45991</v>
      </c>
      <c r="G21" s="155">
        <v>0.22600361999999999</v>
      </c>
      <c r="H21" s="153">
        <v>58407.17</v>
      </c>
      <c r="I21" s="45">
        <v>40527.18</v>
      </c>
      <c r="J21" s="45">
        <f t="shared" si="2"/>
        <v>17879.989999999998</v>
      </c>
      <c r="K21" s="46">
        <f t="shared" si="3"/>
        <v>0.30612662794653461</v>
      </c>
      <c r="L21" s="169">
        <v>65135.44</v>
      </c>
      <c r="M21" s="169">
        <v>52208.28</v>
      </c>
      <c r="N21" s="45">
        <f t="shared" si="4"/>
        <v>12927.160000000003</v>
      </c>
      <c r="O21" s="46">
        <f t="shared" si="5"/>
        <v>0.19846584286526664</v>
      </c>
      <c r="P21" s="169">
        <v>221607.36</v>
      </c>
      <c r="Q21" s="169">
        <v>189247.44</v>
      </c>
      <c r="R21" s="45">
        <f t="shared" si="6"/>
        <v>32359.919999999984</v>
      </c>
      <c r="S21" s="46">
        <f t="shared" si="7"/>
        <v>0.146023669971972</v>
      </c>
      <c r="T21" s="176">
        <v>89560.61</v>
      </c>
      <c r="U21" s="176">
        <v>44270.18</v>
      </c>
      <c r="V21" s="173">
        <f t="shared" si="8"/>
        <v>45290.43</v>
      </c>
      <c r="W21" s="171">
        <f t="shared" si="9"/>
        <v>0.50569586339351646</v>
      </c>
      <c r="X21" s="47" t="s">
        <v>127</v>
      </c>
      <c r="Y21" s="32" t="s">
        <v>366</v>
      </c>
      <c r="AD21" s="50"/>
      <c r="AF21" s="51"/>
      <c r="AH21" s="51"/>
    </row>
    <row r="22" spans="1:34" x14ac:dyDescent="0.15">
      <c r="A22" s="37" t="s">
        <v>13</v>
      </c>
      <c r="B22" s="37" t="s">
        <v>93</v>
      </c>
      <c r="C22" s="37" t="s">
        <v>94</v>
      </c>
      <c r="D22" s="37" t="s">
        <v>8</v>
      </c>
      <c r="E22" s="38">
        <v>45621</v>
      </c>
      <c r="F22" s="38">
        <v>45838</v>
      </c>
      <c r="G22" s="155">
        <v>4.9961899999999997E-2</v>
      </c>
      <c r="H22" s="153">
        <v>336120.8</v>
      </c>
      <c r="I22" s="45">
        <v>305517.84000000003</v>
      </c>
      <c r="J22" s="45">
        <f t="shared" si="2"/>
        <v>30602.959999999963</v>
      </c>
      <c r="K22" s="46">
        <f t="shared" si="3"/>
        <v>9.1047504349626579E-2</v>
      </c>
      <c r="L22" s="169">
        <v>279534.61</v>
      </c>
      <c r="M22" s="169">
        <v>276752.65999999997</v>
      </c>
      <c r="N22" s="45">
        <f t="shared" si="4"/>
        <v>2781.9500000000116</v>
      </c>
      <c r="O22" s="46">
        <f t="shared" si="5"/>
        <v>9.9520771327744062E-3</v>
      </c>
      <c r="P22" s="169">
        <v>0</v>
      </c>
      <c r="Q22" s="169">
        <v>-2075.2600000000002</v>
      </c>
      <c r="R22" s="45">
        <f t="shared" si="6"/>
        <v>2075.2600000000002</v>
      </c>
      <c r="S22" s="46" t="e">
        <f t="shared" si="7"/>
        <v>#DIV/0!</v>
      </c>
      <c r="T22" s="176"/>
      <c r="U22" s="176"/>
      <c r="V22" s="173">
        <f t="shared" si="8"/>
        <v>0</v>
      </c>
      <c r="W22" s="171" t="e">
        <f t="shared" si="9"/>
        <v>#DIV/0!</v>
      </c>
      <c r="X22" s="47" t="s">
        <v>127</v>
      </c>
      <c r="Y22" s="32"/>
    </row>
    <row r="23" spans="1:34" x14ac:dyDescent="0.15">
      <c r="A23" s="37" t="s">
        <v>13</v>
      </c>
      <c r="B23" s="37" t="s">
        <v>95</v>
      </c>
      <c r="C23" s="37" t="s">
        <v>96</v>
      </c>
      <c r="D23" s="37" t="s">
        <v>8</v>
      </c>
      <c r="E23" s="38">
        <v>45631</v>
      </c>
      <c r="F23" s="38">
        <v>45737</v>
      </c>
      <c r="G23" s="155">
        <v>0.22442160999999999</v>
      </c>
      <c r="H23" s="153">
        <v>118177.82</v>
      </c>
      <c r="I23" s="45">
        <v>146647.26</v>
      </c>
      <c r="J23" s="45">
        <f t="shared" si="2"/>
        <v>-28469.440000000002</v>
      </c>
      <c r="K23" s="46">
        <f t="shared" si="3"/>
        <v>-0.24090341148618244</v>
      </c>
      <c r="L23" s="169">
        <v>0</v>
      </c>
      <c r="M23" s="169">
        <v>0</v>
      </c>
      <c r="N23" s="45">
        <f t="shared" si="4"/>
        <v>0</v>
      </c>
      <c r="O23" s="46" t="e">
        <f t="shared" si="5"/>
        <v>#DIV/0!</v>
      </c>
      <c r="P23" s="169">
        <v>0</v>
      </c>
      <c r="Q23" s="169">
        <v>0</v>
      </c>
      <c r="R23" s="45">
        <f t="shared" si="6"/>
        <v>0</v>
      </c>
      <c r="S23" s="46" t="e">
        <f t="shared" si="7"/>
        <v>#DIV/0!</v>
      </c>
      <c r="T23" s="176"/>
      <c r="U23" s="176"/>
      <c r="V23" s="173">
        <f t="shared" si="8"/>
        <v>0</v>
      </c>
      <c r="W23" s="171" t="e">
        <f t="shared" si="9"/>
        <v>#DIV/0!</v>
      </c>
      <c r="X23" s="47" t="s">
        <v>31</v>
      </c>
      <c r="Y23" s="32"/>
      <c r="AD23" s="50"/>
    </row>
    <row r="24" spans="1:34" x14ac:dyDescent="0.15">
      <c r="A24" s="37" t="s">
        <v>13</v>
      </c>
      <c r="B24" s="37" t="s">
        <v>97</v>
      </c>
      <c r="C24" s="37" t="s">
        <v>332</v>
      </c>
      <c r="D24" s="37" t="s">
        <v>10</v>
      </c>
      <c r="E24" s="38">
        <v>45628</v>
      </c>
      <c r="F24" s="38">
        <v>46022</v>
      </c>
      <c r="G24" s="155">
        <v>0.16405658000000001</v>
      </c>
      <c r="H24" s="153">
        <v>333805.5</v>
      </c>
      <c r="I24" s="45">
        <v>292832.59000000003</v>
      </c>
      <c r="J24" s="45">
        <f t="shared" si="2"/>
        <v>40972.909999999974</v>
      </c>
      <c r="K24" s="46">
        <f t="shared" si="3"/>
        <v>0.12274486190311416</v>
      </c>
      <c r="L24" s="169">
        <v>213460.27</v>
      </c>
      <c r="M24" s="169">
        <v>170393.17</v>
      </c>
      <c r="N24" s="45">
        <f t="shared" si="4"/>
        <v>43067.099999999977</v>
      </c>
      <c r="O24" s="46">
        <f t="shared" si="5"/>
        <v>0.20175698269284481</v>
      </c>
      <c r="P24" s="169">
        <v>190947.59</v>
      </c>
      <c r="Q24" s="169">
        <v>172754.61</v>
      </c>
      <c r="R24" s="45">
        <f t="shared" si="6"/>
        <v>18192.98000000001</v>
      </c>
      <c r="S24" s="46">
        <f t="shared" si="7"/>
        <v>9.527734809326481E-2</v>
      </c>
      <c r="T24" s="176">
        <v>205944.79</v>
      </c>
      <c r="U24" s="176">
        <v>168876.99</v>
      </c>
      <c r="V24" s="173">
        <f t="shared" si="8"/>
        <v>37067.800000000017</v>
      </c>
      <c r="W24" s="171">
        <f t="shared" si="9"/>
        <v>0.17998901550265009</v>
      </c>
      <c r="X24" s="47" t="s">
        <v>127</v>
      </c>
      <c r="Y24" s="32"/>
    </row>
    <row r="25" spans="1:34" x14ac:dyDescent="0.15">
      <c r="A25" s="37" t="s">
        <v>13</v>
      </c>
      <c r="B25" s="37" t="s">
        <v>99</v>
      </c>
      <c r="C25" s="37" t="s">
        <v>333</v>
      </c>
      <c r="D25" s="37" t="s">
        <v>10</v>
      </c>
      <c r="E25" s="38">
        <v>45670</v>
      </c>
      <c r="F25" s="38">
        <v>46022</v>
      </c>
      <c r="G25" s="155">
        <v>0.14441221000000001</v>
      </c>
      <c r="H25" s="153">
        <v>182882.61</v>
      </c>
      <c r="I25" s="45">
        <v>139562</v>
      </c>
      <c r="J25" s="45">
        <f t="shared" si="2"/>
        <v>43320.609999999986</v>
      </c>
      <c r="K25" s="46">
        <f t="shared" si="3"/>
        <v>0.23687659531980645</v>
      </c>
      <c r="L25" s="169">
        <v>168491.02</v>
      </c>
      <c r="M25" s="169">
        <v>161296.20000000001</v>
      </c>
      <c r="N25" s="45">
        <f t="shared" si="4"/>
        <v>7194.8199999999779</v>
      </c>
      <c r="O25" s="46">
        <f t="shared" si="5"/>
        <v>4.2701504210728727E-2</v>
      </c>
      <c r="P25" s="169">
        <v>181546.01</v>
      </c>
      <c r="Q25" s="169">
        <v>169133.33</v>
      </c>
      <c r="R25" s="45">
        <f t="shared" si="6"/>
        <v>12412.680000000022</v>
      </c>
      <c r="S25" s="46">
        <f t="shared" si="7"/>
        <v>6.8372089257153171E-2</v>
      </c>
      <c r="T25" s="176">
        <v>63359.39</v>
      </c>
      <c r="U25" s="176">
        <v>39421.5</v>
      </c>
      <c r="V25" s="173">
        <f t="shared" si="8"/>
        <v>23937.89</v>
      </c>
      <c r="W25" s="171">
        <f t="shared" si="9"/>
        <v>0.37781124471053146</v>
      </c>
      <c r="X25" s="47" t="s">
        <v>127</v>
      </c>
      <c r="Y25" s="32"/>
    </row>
    <row r="26" spans="1:34" x14ac:dyDescent="0.15">
      <c r="A26" s="37" t="s">
        <v>13</v>
      </c>
      <c r="B26" s="37" t="s">
        <v>101</v>
      </c>
      <c r="C26" s="37" t="s">
        <v>135</v>
      </c>
      <c r="D26" s="37" t="s">
        <v>10</v>
      </c>
      <c r="E26" s="38">
        <v>45658</v>
      </c>
      <c r="F26" s="38">
        <v>45996</v>
      </c>
      <c r="G26" s="155">
        <v>0.17179692999999999</v>
      </c>
      <c r="H26" s="153">
        <v>66887.5</v>
      </c>
      <c r="I26" s="45">
        <v>57368.56</v>
      </c>
      <c r="J26" s="45">
        <f t="shared" si="2"/>
        <v>9518.9400000000023</v>
      </c>
      <c r="K26" s="46">
        <f t="shared" si="3"/>
        <v>0.14231268921696882</v>
      </c>
      <c r="L26" s="169">
        <v>108853.5</v>
      </c>
      <c r="M26" s="169">
        <v>90579.25</v>
      </c>
      <c r="N26" s="45">
        <f t="shared" si="4"/>
        <v>18274.25</v>
      </c>
      <c r="O26" s="46">
        <f t="shared" si="5"/>
        <v>0.16787930567230269</v>
      </c>
      <c r="P26" s="169">
        <v>479287.65</v>
      </c>
      <c r="Q26" s="169">
        <v>424065.33</v>
      </c>
      <c r="R26" s="45">
        <f t="shared" si="6"/>
        <v>55222.320000000007</v>
      </c>
      <c r="S26" s="46">
        <f t="shared" si="7"/>
        <v>0.11521748995618812</v>
      </c>
      <c r="T26" s="176">
        <v>550683.06000000006</v>
      </c>
      <c r="U26" s="176">
        <v>409269.85</v>
      </c>
      <c r="V26" s="173">
        <f t="shared" si="8"/>
        <v>141413.21000000008</v>
      </c>
      <c r="W26" s="171">
        <f t="shared" si="9"/>
        <v>0.25679600531020524</v>
      </c>
      <c r="X26" s="47" t="s">
        <v>127</v>
      </c>
      <c r="Y26" s="32"/>
    </row>
    <row r="27" spans="1:34" x14ac:dyDescent="0.15">
      <c r="A27" s="37" t="s">
        <v>13</v>
      </c>
      <c r="B27" s="37" t="s">
        <v>102</v>
      </c>
      <c r="C27" s="37" t="s">
        <v>381</v>
      </c>
      <c r="D27" s="37" t="s">
        <v>10</v>
      </c>
      <c r="E27" s="38">
        <v>45659</v>
      </c>
      <c r="F27" s="38">
        <v>46022</v>
      </c>
      <c r="G27" s="155">
        <v>0.18863009999999999</v>
      </c>
      <c r="H27" s="153">
        <v>185732.07</v>
      </c>
      <c r="I27" s="45">
        <v>120641.88</v>
      </c>
      <c r="J27" s="45">
        <f t="shared" si="2"/>
        <v>65090.19</v>
      </c>
      <c r="K27" s="46">
        <f t="shared" si="3"/>
        <v>0.35045207863133165</v>
      </c>
      <c r="L27" s="169">
        <v>156981.23000000001</v>
      </c>
      <c r="M27" s="169">
        <v>164921.15</v>
      </c>
      <c r="N27" s="45">
        <f t="shared" si="4"/>
        <v>-7939.9199999999837</v>
      </c>
      <c r="O27" s="46">
        <f t="shared" si="5"/>
        <v>-5.0578785756742912E-2</v>
      </c>
      <c r="P27" s="169">
        <v>217783.2</v>
      </c>
      <c r="Q27" s="169">
        <v>193773.2</v>
      </c>
      <c r="R27" s="45">
        <f t="shared" si="6"/>
        <v>24010</v>
      </c>
      <c r="S27" s="46">
        <f t="shared" si="7"/>
        <v>0.11024725506834319</v>
      </c>
      <c r="T27" s="176">
        <v>176078.54</v>
      </c>
      <c r="U27" s="176">
        <v>130348.93</v>
      </c>
      <c r="V27" s="173">
        <f t="shared" si="8"/>
        <v>45729.610000000015</v>
      </c>
      <c r="W27" s="171">
        <f t="shared" si="9"/>
        <v>0.25971143331833629</v>
      </c>
      <c r="X27" s="47" t="s">
        <v>127</v>
      </c>
      <c r="Y27" s="32"/>
    </row>
    <row r="28" spans="1:34" x14ac:dyDescent="0.15">
      <c r="A28" s="37" t="s">
        <v>13</v>
      </c>
      <c r="B28" s="37" t="s">
        <v>103</v>
      </c>
      <c r="C28" s="37" t="s">
        <v>324</v>
      </c>
      <c r="D28" s="37" t="s">
        <v>8</v>
      </c>
      <c r="E28" s="38">
        <v>45677</v>
      </c>
      <c r="F28" s="38">
        <v>45930</v>
      </c>
      <c r="G28" s="155">
        <v>0.15250489</v>
      </c>
      <c r="H28" s="153">
        <v>124112.73</v>
      </c>
      <c r="I28" s="45">
        <v>108957.59</v>
      </c>
      <c r="J28" s="45">
        <f t="shared" si="2"/>
        <v>15155.14</v>
      </c>
      <c r="K28" s="46">
        <f t="shared" si="3"/>
        <v>0.12210786113559825</v>
      </c>
      <c r="L28" s="169">
        <v>174968.15</v>
      </c>
      <c r="M28" s="169">
        <v>155129.79999999999</v>
      </c>
      <c r="N28" s="45">
        <f t="shared" si="4"/>
        <v>19838.350000000006</v>
      </c>
      <c r="O28" s="46">
        <f t="shared" si="5"/>
        <v>0.11338263563968647</v>
      </c>
      <c r="P28" s="169">
        <v>180235.38</v>
      </c>
      <c r="Q28" s="169">
        <v>155333.32999999999</v>
      </c>
      <c r="R28" s="45">
        <f t="shared" si="6"/>
        <v>24902.050000000017</v>
      </c>
      <c r="S28" s="46">
        <f t="shared" si="7"/>
        <v>0.13816404969989809</v>
      </c>
      <c r="T28" s="176">
        <v>17301.169999999998</v>
      </c>
      <c r="U28" s="176">
        <v>4139.3100000000004</v>
      </c>
      <c r="V28" s="173">
        <f t="shared" si="8"/>
        <v>13161.859999999997</v>
      </c>
      <c r="W28" s="171">
        <f t="shared" si="9"/>
        <v>0.76074970652273799</v>
      </c>
      <c r="X28" s="47" t="s">
        <v>127</v>
      </c>
      <c r="Y28" s="32"/>
      <c r="AB28" s="50"/>
      <c r="AD28" s="50"/>
      <c r="AF28" s="50"/>
    </row>
    <row r="29" spans="1:34" x14ac:dyDescent="0.15">
      <c r="A29" s="37" t="s">
        <v>13</v>
      </c>
      <c r="B29" s="37" t="s">
        <v>130</v>
      </c>
      <c r="C29" s="37" t="s">
        <v>136</v>
      </c>
      <c r="D29" s="37" t="s">
        <v>8</v>
      </c>
      <c r="E29" s="38">
        <v>45658</v>
      </c>
      <c r="F29" s="38">
        <v>45869</v>
      </c>
      <c r="G29" s="155">
        <v>0.19333475999999999</v>
      </c>
      <c r="H29" s="153">
        <v>16549.8</v>
      </c>
      <c r="I29" s="45">
        <v>13865.16</v>
      </c>
      <c r="J29" s="45">
        <f t="shared" si="2"/>
        <v>2684.6399999999994</v>
      </c>
      <c r="K29" s="46">
        <f t="shared" si="3"/>
        <v>0.1622158575934452</v>
      </c>
      <c r="L29" s="169">
        <v>218794.04</v>
      </c>
      <c r="M29" s="169">
        <v>189478.55</v>
      </c>
      <c r="N29" s="45">
        <f t="shared" si="4"/>
        <v>29315.49000000002</v>
      </c>
      <c r="O29" s="46">
        <f t="shared" si="5"/>
        <v>0.13398669360463392</v>
      </c>
      <c r="P29" s="169">
        <v>15063.42</v>
      </c>
      <c r="Q29" s="169">
        <v>-9601.73</v>
      </c>
      <c r="R29" s="45">
        <f t="shared" si="6"/>
        <v>24665.15</v>
      </c>
      <c r="S29" s="46">
        <f t="shared" si="7"/>
        <v>1.6374203202194455</v>
      </c>
      <c r="T29" s="176"/>
      <c r="U29" s="176"/>
      <c r="V29" s="173">
        <f t="shared" si="8"/>
        <v>0</v>
      </c>
      <c r="W29" s="171" t="e">
        <f t="shared" si="9"/>
        <v>#DIV/0!</v>
      </c>
      <c r="X29" s="47" t="s">
        <v>127</v>
      </c>
      <c r="Y29" s="32"/>
    </row>
    <row r="30" spans="1:34" x14ac:dyDescent="0.15">
      <c r="A30" s="37" t="s">
        <v>13</v>
      </c>
      <c r="B30" s="37" t="s">
        <v>132</v>
      </c>
      <c r="C30" s="37" t="s">
        <v>7</v>
      </c>
      <c r="D30" s="37" t="s">
        <v>317</v>
      </c>
      <c r="E30" s="38">
        <v>45691</v>
      </c>
      <c r="F30" s="38">
        <v>45730</v>
      </c>
      <c r="G30" s="155">
        <v>0</v>
      </c>
      <c r="H30" s="153"/>
      <c r="I30" s="45"/>
      <c r="J30" s="45">
        <f t="shared" ref="J30" si="10">H30-I30</f>
        <v>0</v>
      </c>
      <c r="K30" s="46" t="e">
        <f t="shared" ref="K30" si="11">J30/H30*100%</f>
        <v>#DIV/0!</v>
      </c>
      <c r="L30" s="169"/>
      <c r="M30" s="169">
        <v>-10521.21</v>
      </c>
      <c r="N30" s="45">
        <f t="shared" si="4"/>
        <v>10521.21</v>
      </c>
      <c r="O30" s="46" t="e">
        <f t="shared" si="5"/>
        <v>#DIV/0!</v>
      </c>
      <c r="P30" s="169"/>
      <c r="Q30" s="169"/>
      <c r="R30" s="45">
        <f t="shared" ref="R30" si="12">P30-Q30</f>
        <v>0</v>
      </c>
      <c r="S30" s="46" t="e">
        <f t="shared" ref="S30" si="13">R30/P30*100%</f>
        <v>#DIV/0!</v>
      </c>
      <c r="T30" s="176"/>
      <c r="U30" s="176"/>
      <c r="V30" s="173">
        <f t="shared" si="8"/>
        <v>0</v>
      </c>
      <c r="W30" s="171" t="e">
        <f t="shared" si="9"/>
        <v>#DIV/0!</v>
      </c>
      <c r="X30" s="47"/>
      <c r="Y30" s="32"/>
    </row>
    <row r="31" spans="1:34" x14ac:dyDescent="0.15">
      <c r="A31" s="37" t="s">
        <v>13</v>
      </c>
      <c r="B31" s="37" t="s">
        <v>196</v>
      </c>
      <c r="C31" s="37" t="s">
        <v>197</v>
      </c>
      <c r="D31" s="37" t="s">
        <v>10</v>
      </c>
      <c r="E31" s="38">
        <v>45748</v>
      </c>
      <c r="F31" s="38">
        <v>45991</v>
      </c>
      <c r="G31" s="155">
        <v>0.22161591</v>
      </c>
      <c r="H31" s="153"/>
      <c r="I31" s="45"/>
      <c r="J31" s="45"/>
      <c r="K31" s="46"/>
      <c r="L31" s="169">
        <v>200092.24</v>
      </c>
      <c r="M31" s="169">
        <v>164149.89000000001</v>
      </c>
      <c r="N31" s="45">
        <f t="shared" si="4"/>
        <v>35942.349999999977</v>
      </c>
      <c r="O31" s="46">
        <f t="shared" si="5"/>
        <v>0.17962890514894519</v>
      </c>
      <c r="P31" s="169">
        <v>253818.91</v>
      </c>
      <c r="Q31" s="169">
        <v>208003.47</v>
      </c>
      <c r="R31" s="45">
        <f t="shared" si="6"/>
        <v>45815.44</v>
      </c>
      <c r="S31" s="46">
        <f t="shared" si="7"/>
        <v>0.1805044391688547</v>
      </c>
      <c r="T31" s="176">
        <v>887462.62</v>
      </c>
      <c r="U31" s="176">
        <v>690022.04</v>
      </c>
      <c r="V31" s="173">
        <f t="shared" si="8"/>
        <v>197440.57999999996</v>
      </c>
      <c r="W31" s="171">
        <f t="shared" si="9"/>
        <v>0.22247762953666708</v>
      </c>
      <c r="X31" s="47" t="s">
        <v>127</v>
      </c>
      <c r="Y31" s="32"/>
      <c r="AB31" s="50"/>
    </row>
    <row r="32" spans="1:34" x14ac:dyDescent="0.15">
      <c r="A32" s="37" t="s">
        <v>13</v>
      </c>
      <c r="B32" s="37" t="s">
        <v>198</v>
      </c>
      <c r="C32" s="37" t="s">
        <v>199</v>
      </c>
      <c r="D32" s="37" t="s">
        <v>8</v>
      </c>
      <c r="E32" s="38">
        <v>45778</v>
      </c>
      <c r="F32" s="38">
        <v>45884</v>
      </c>
      <c r="G32" s="155">
        <v>0.2569883</v>
      </c>
      <c r="H32" s="153"/>
      <c r="I32" s="45"/>
      <c r="J32" s="45"/>
      <c r="K32" s="46"/>
      <c r="L32" s="169">
        <v>0</v>
      </c>
      <c r="M32" s="169">
        <v>4351.03</v>
      </c>
      <c r="N32" s="45">
        <f t="shared" si="4"/>
        <v>-4351.03</v>
      </c>
      <c r="O32" s="46" t="e">
        <f t="shared" si="5"/>
        <v>#DIV/0!</v>
      </c>
      <c r="P32" s="169">
        <v>85902.5</v>
      </c>
      <c r="Q32" s="169">
        <v>56900.99</v>
      </c>
      <c r="R32" s="45">
        <f t="shared" si="6"/>
        <v>29001.510000000002</v>
      </c>
      <c r="S32" s="46">
        <f t="shared" si="7"/>
        <v>0.33760961555251595</v>
      </c>
      <c r="T32" s="176">
        <v>0</v>
      </c>
      <c r="U32" s="176">
        <v>32.479999999999997</v>
      </c>
      <c r="V32" s="173">
        <f t="shared" si="8"/>
        <v>-32.479999999999997</v>
      </c>
      <c r="W32" s="171" t="e">
        <f t="shared" si="9"/>
        <v>#DIV/0!</v>
      </c>
      <c r="X32" s="47" t="s">
        <v>126</v>
      </c>
      <c r="Y32" s="32"/>
      <c r="AB32" s="50"/>
    </row>
    <row r="33" spans="1:28" x14ac:dyDescent="0.15">
      <c r="A33" s="37" t="s">
        <v>13</v>
      </c>
      <c r="B33" s="37" t="s">
        <v>325</v>
      </c>
      <c r="C33" s="37" t="s">
        <v>326</v>
      </c>
      <c r="D33" s="37" t="s">
        <v>10</v>
      </c>
      <c r="E33" s="38">
        <v>45810</v>
      </c>
      <c r="F33" s="38">
        <v>46108</v>
      </c>
      <c r="G33" s="155">
        <v>0.31322591</v>
      </c>
      <c r="H33" s="153"/>
      <c r="I33" s="45"/>
      <c r="J33" s="45"/>
      <c r="K33" s="46"/>
      <c r="L33" s="169">
        <v>0</v>
      </c>
      <c r="M33" s="169">
        <v>0</v>
      </c>
      <c r="N33" s="45">
        <f t="shared" ref="N33" si="14">L33-M33</f>
        <v>0</v>
      </c>
      <c r="O33" s="46" t="e">
        <f t="shared" ref="O33" si="15">N33/L33*100%</f>
        <v>#DIV/0!</v>
      </c>
      <c r="P33" s="169">
        <v>203872.5</v>
      </c>
      <c r="Q33" s="169">
        <v>50449.14</v>
      </c>
      <c r="R33" s="45">
        <f t="shared" ref="R33" si="16">P33-Q33</f>
        <v>153423.35999999999</v>
      </c>
      <c r="S33" s="46">
        <f t="shared" ref="S33" si="17">R33/P33*100%</f>
        <v>0.75254563513960926</v>
      </c>
      <c r="T33" s="176">
        <v>203872.5</v>
      </c>
      <c r="U33" s="176">
        <v>50288.24</v>
      </c>
      <c r="V33" s="173">
        <f t="shared" si="8"/>
        <v>153584.26</v>
      </c>
      <c r="W33" s="171">
        <f t="shared" si="9"/>
        <v>0.75333485389152544</v>
      </c>
      <c r="X33" s="47" t="s">
        <v>126</v>
      </c>
      <c r="Y33" s="32"/>
      <c r="AB33" s="50"/>
    </row>
    <row r="34" spans="1:28" x14ac:dyDescent="0.15">
      <c r="A34" s="37" t="s">
        <v>13</v>
      </c>
      <c r="B34" s="37" t="s">
        <v>331</v>
      </c>
      <c r="C34" s="37" t="s">
        <v>346</v>
      </c>
      <c r="D34" s="37" t="s">
        <v>10</v>
      </c>
      <c r="E34" s="38">
        <v>45824</v>
      </c>
      <c r="F34" s="38">
        <v>46080</v>
      </c>
      <c r="G34" s="155">
        <v>0.16844390000000001</v>
      </c>
      <c r="H34" s="153"/>
      <c r="I34" s="45"/>
      <c r="J34" s="45"/>
      <c r="K34" s="46"/>
      <c r="L34" s="169">
        <v>0</v>
      </c>
      <c r="M34" s="169">
        <v>7573.32</v>
      </c>
      <c r="N34" s="45">
        <f t="shared" ref="N34" si="18">L34-M34</f>
        <v>-7573.32</v>
      </c>
      <c r="O34" s="46" t="e">
        <f t="shared" ref="O34:O37" si="19">N34/L34*100%</f>
        <v>#DIV/0!</v>
      </c>
      <c r="P34" s="169">
        <v>111995.68</v>
      </c>
      <c r="Q34" s="169">
        <v>91083.54</v>
      </c>
      <c r="R34" s="45">
        <f t="shared" si="6"/>
        <v>20912.14</v>
      </c>
      <c r="S34" s="46">
        <f t="shared" si="7"/>
        <v>0.18672273787703242</v>
      </c>
      <c r="T34" s="176">
        <v>117275.63</v>
      </c>
      <c r="U34" s="176">
        <v>97370.53</v>
      </c>
      <c r="V34" s="173">
        <f t="shared" si="8"/>
        <v>19905.100000000006</v>
      </c>
      <c r="W34" s="171">
        <f t="shared" si="9"/>
        <v>0.16972920972583994</v>
      </c>
      <c r="X34" s="47" t="s">
        <v>127</v>
      </c>
      <c r="Y34" s="32"/>
      <c r="AB34" s="50"/>
    </row>
    <row r="35" spans="1:28" x14ac:dyDescent="0.15">
      <c r="A35" s="37" t="s">
        <v>13</v>
      </c>
      <c r="B35" s="37" t="s">
        <v>340</v>
      </c>
      <c r="C35" s="37" t="s">
        <v>341</v>
      </c>
      <c r="D35" s="37" t="s">
        <v>10</v>
      </c>
      <c r="E35" s="38">
        <v>45839</v>
      </c>
      <c r="F35" s="38">
        <v>46387</v>
      </c>
      <c r="G35" s="155">
        <v>0.15378035000000001</v>
      </c>
      <c r="H35" s="153"/>
      <c r="I35" s="45"/>
      <c r="J35" s="45"/>
      <c r="K35" s="46"/>
      <c r="L35" s="169"/>
      <c r="M35" s="169"/>
      <c r="N35" s="45"/>
      <c r="O35" s="46" t="e">
        <f t="shared" si="19"/>
        <v>#DIV/0!</v>
      </c>
      <c r="P35" s="169">
        <v>185777.46</v>
      </c>
      <c r="Q35" s="169">
        <v>169170.4</v>
      </c>
      <c r="R35" s="45">
        <f t="shared" ref="R35:R37" si="20">P35-Q35</f>
        <v>16607.059999999998</v>
      </c>
      <c r="S35" s="46">
        <f t="shared" ref="S35:S37" si="21">R35/P35*100%</f>
        <v>8.9392222285739065E-2</v>
      </c>
      <c r="T35" s="176">
        <v>299145.08</v>
      </c>
      <c r="U35" s="176">
        <v>253635.43</v>
      </c>
      <c r="V35" s="173">
        <f t="shared" si="8"/>
        <v>45509.650000000023</v>
      </c>
      <c r="W35" s="171">
        <f t="shared" si="9"/>
        <v>0.15213237001925628</v>
      </c>
      <c r="X35" s="47" t="s">
        <v>127</v>
      </c>
      <c r="Y35" s="32"/>
      <c r="AB35" s="50"/>
    </row>
    <row r="36" spans="1:28" x14ac:dyDescent="0.15">
      <c r="A36" s="37" t="s">
        <v>13</v>
      </c>
      <c r="B36" s="37" t="s">
        <v>342</v>
      </c>
      <c r="C36" s="37" t="s">
        <v>343</v>
      </c>
      <c r="D36" s="37" t="s">
        <v>10</v>
      </c>
      <c r="E36" s="38">
        <v>45810</v>
      </c>
      <c r="F36" s="38">
        <v>46220</v>
      </c>
      <c r="G36" s="155">
        <v>0.15917779000000001</v>
      </c>
      <c r="H36" s="153"/>
      <c r="I36" s="45"/>
      <c r="J36" s="45"/>
      <c r="K36" s="46"/>
      <c r="L36" s="169"/>
      <c r="M36" s="169"/>
      <c r="N36" s="45"/>
      <c r="O36" s="46" t="e">
        <f t="shared" si="19"/>
        <v>#DIV/0!</v>
      </c>
      <c r="P36" s="169">
        <v>912113.41</v>
      </c>
      <c r="Q36" s="169">
        <v>822404.11</v>
      </c>
      <c r="R36" s="45">
        <f t="shared" si="20"/>
        <v>89709.300000000047</v>
      </c>
      <c r="S36" s="46">
        <f t="shared" si="21"/>
        <v>9.8353230000203642E-2</v>
      </c>
      <c r="T36" s="176">
        <v>2139860.83</v>
      </c>
      <c r="U36" s="176">
        <v>1850278.09</v>
      </c>
      <c r="V36" s="173">
        <f t="shared" si="8"/>
        <v>289582.74</v>
      </c>
      <c r="W36" s="171">
        <f t="shared" si="9"/>
        <v>0.13532783811926685</v>
      </c>
      <c r="X36" s="47" t="s">
        <v>127</v>
      </c>
      <c r="Y36" s="32" t="s">
        <v>394</v>
      </c>
      <c r="AB36" s="50"/>
    </row>
    <row r="37" spans="1:28" x14ac:dyDescent="0.15">
      <c r="A37" s="37" t="s">
        <v>13</v>
      </c>
      <c r="B37" s="37" t="s">
        <v>344</v>
      </c>
      <c r="C37" s="37" t="s">
        <v>362</v>
      </c>
      <c r="D37" s="37" t="s">
        <v>10</v>
      </c>
      <c r="E37" s="38">
        <v>45824</v>
      </c>
      <c r="F37" s="38">
        <v>46022</v>
      </c>
      <c r="G37" s="155">
        <v>6.8510799999999997E-2</v>
      </c>
      <c r="H37" s="153"/>
      <c r="I37" s="45"/>
      <c r="J37" s="45"/>
      <c r="K37" s="46"/>
      <c r="L37" s="169"/>
      <c r="M37" s="169"/>
      <c r="N37" s="45"/>
      <c r="O37" s="46" t="e">
        <f t="shared" si="19"/>
        <v>#DIV/0!</v>
      </c>
      <c r="P37" s="169">
        <v>378438.52</v>
      </c>
      <c r="Q37" s="169">
        <v>372396.62</v>
      </c>
      <c r="R37" s="45">
        <f t="shared" si="20"/>
        <v>6041.9000000000233</v>
      </c>
      <c r="S37" s="46">
        <f t="shared" si="21"/>
        <v>1.5965340948907693E-2</v>
      </c>
      <c r="T37" s="176">
        <v>567802.99</v>
      </c>
      <c r="U37" s="176">
        <v>506918.38</v>
      </c>
      <c r="V37" s="173">
        <f t="shared" si="8"/>
        <v>60884.609999999986</v>
      </c>
      <c r="W37" s="171">
        <f t="shared" si="9"/>
        <v>0.1072284068106087</v>
      </c>
      <c r="X37" s="47" t="s">
        <v>127</v>
      </c>
      <c r="Y37" s="32"/>
      <c r="AB37" s="50"/>
    </row>
    <row r="38" spans="1:28" x14ac:dyDescent="0.15">
      <c r="A38" s="37" t="s">
        <v>13</v>
      </c>
      <c r="B38" s="37" t="s">
        <v>378</v>
      </c>
      <c r="C38" s="37" t="s">
        <v>7</v>
      </c>
      <c r="D38" s="37" t="s">
        <v>81</v>
      </c>
      <c r="E38" s="38">
        <v>45859</v>
      </c>
      <c r="F38" s="38">
        <v>45961</v>
      </c>
      <c r="G38" s="155">
        <v>0</v>
      </c>
      <c r="H38" s="153"/>
      <c r="I38" s="45"/>
      <c r="J38" s="45"/>
      <c r="K38" s="46"/>
      <c r="L38" s="169"/>
      <c r="M38" s="169"/>
      <c r="N38" s="45"/>
      <c r="O38" s="46"/>
      <c r="P38" s="169"/>
      <c r="Q38" s="169"/>
      <c r="R38" s="45"/>
      <c r="S38" s="46"/>
      <c r="T38" s="176">
        <v>0</v>
      </c>
      <c r="U38" s="176">
        <v>0</v>
      </c>
      <c r="V38" s="173">
        <f t="shared" ref="V38" si="22">T38-U38</f>
        <v>0</v>
      </c>
      <c r="W38" s="171" t="e">
        <f t="shared" ref="W38" si="23">V38/T38*100%</f>
        <v>#DIV/0!</v>
      </c>
      <c r="X38" s="47"/>
      <c r="Y38" s="32"/>
      <c r="AB38" s="50"/>
    </row>
    <row r="39" spans="1:28" x14ac:dyDescent="0.15">
      <c r="A39" s="37" t="s">
        <v>13</v>
      </c>
      <c r="B39" s="37" t="s">
        <v>363</v>
      </c>
      <c r="C39" s="37" t="s">
        <v>364</v>
      </c>
      <c r="D39" s="37" t="s">
        <v>10</v>
      </c>
      <c r="E39" s="38">
        <v>45870</v>
      </c>
      <c r="F39" s="38">
        <v>46053</v>
      </c>
      <c r="G39" s="155">
        <v>0.17433306000000001</v>
      </c>
      <c r="H39" s="153"/>
      <c r="I39" s="45"/>
      <c r="J39" s="45"/>
      <c r="K39" s="46"/>
      <c r="L39" s="169"/>
      <c r="M39" s="169"/>
      <c r="N39" s="45"/>
      <c r="O39" s="46" t="e">
        <f t="shared" ref="O39" si="24">N39/L39*100%</f>
        <v>#DIV/0!</v>
      </c>
      <c r="P39" s="169">
        <v>73727.899999999994</v>
      </c>
      <c r="Q39" s="169">
        <v>65077.89</v>
      </c>
      <c r="R39" s="45">
        <f t="shared" ref="R39" si="25">P39-Q39</f>
        <v>8650.0099999999948</v>
      </c>
      <c r="S39" s="46">
        <f t="shared" ref="S39" si="26">R39/P39*100%</f>
        <v>0.1173234284443202</v>
      </c>
      <c r="T39" s="176">
        <v>71461.850000000006</v>
      </c>
      <c r="U39" s="176">
        <v>57695.11</v>
      </c>
      <c r="V39" s="173">
        <f t="shared" si="8"/>
        <v>13766.740000000005</v>
      </c>
      <c r="W39" s="171">
        <f t="shared" si="9"/>
        <v>0.19264460687765575</v>
      </c>
      <c r="X39" s="47" t="s">
        <v>127</v>
      </c>
      <c r="Y39" s="32"/>
      <c r="AB39" s="50"/>
    </row>
    <row r="40" spans="1:28" x14ac:dyDescent="0.15">
      <c r="A40" s="37" t="s">
        <v>13</v>
      </c>
      <c r="B40" s="37" t="s">
        <v>367</v>
      </c>
      <c r="C40" s="37" t="s">
        <v>385</v>
      </c>
      <c r="D40" s="37" t="s">
        <v>10</v>
      </c>
      <c r="E40" s="38">
        <v>45887</v>
      </c>
      <c r="F40" s="38">
        <v>46010</v>
      </c>
      <c r="G40" s="155">
        <v>3.9352890000000001E-2</v>
      </c>
      <c r="H40" s="153"/>
      <c r="I40" s="45"/>
      <c r="J40" s="45"/>
      <c r="K40" s="46"/>
      <c r="L40" s="169"/>
      <c r="M40" s="169"/>
      <c r="N40" s="45"/>
      <c r="O40" s="46"/>
      <c r="P40" s="169">
        <v>76786.31</v>
      </c>
      <c r="Q40" s="169">
        <v>73500.59</v>
      </c>
      <c r="R40" s="45">
        <f t="shared" ref="R40:R41" si="27">P40-Q40</f>
        <v>3285.7200000000012</v>
      </c>
      <c r="S40" s="46">
        <f t="shared" ref="S40:S41" si="28">R40/P40*100%</f>
        <v>4.2790440118818072E-2</v>
      </c>
      <c r="T40" s="176">
        <v>284787.48</v>
      </c>
      <c r="U40" s="176">
        <v>256652.3</v>
      </c>
      <c r="V40" s="173">
        <f t="shared" si="8"/>
        <v>28135.179999999993</v>
      </c>
      <c r="W40" s="171">
        <f t="shared" si="9"/>
        <v>9.8793598651176637E-2</v>
      </c>
      <c r="X40" s="47" t="s">
        <v>127</v>
      </c>
      <c r="Y40" s="32"/>
      <c r="AB40" s="50"/>
    </row>
    <row r="41" spans="1:28" x14ac:dyDescent="0.15">
      <c r="A41" s="37" t="s">
        <v>13</v>
      </c>
      <c r="B41" s="37" t="s">
        <v>368</v>
      </c>
      <c r="C41" s="37" t="s">
        <v>386</v>
      </c>
      <c r="D41" s="37" t="s">
        <v>10</v>
      </c>
      <c r="E41" s="38">
        <v>45887</v>
      </c>
      <c r="F41" s="38">
        <v>46203</v>
      </c>
      <c r="G41" s="155">
        <v>0.17253511999999999</v>
      </c>
      <c r="H41" s="153"/>
      <c r="I41" s="45"/>
      <c r="J41" s="45"/>
      <c r="K41" s="46"/>
      <c r="L41" s="169"/>
      <c r="M41" s="169"/>
      <c r="N41" s="45"/>
      <c r="O41" s="46"/>
      <c r="P41" s="169">
        <v>0</v>
      </c>
      <c r="Q41" s="169">
        <v>3067.85</v>
      </c>
      <c r="R41" s="45">
        <f t="shared" si="27"/>
        <v>-3067.85</v>
      </c>
      <c r="S41" s="46" t="e">
        <f t="shared" si="28"/>
        <v>#DIV/0!</v>
      </c>
      <c r="T41" s="176">
        <v>80111.94</v>
      </c>
      <c r="U41" s="176">
        <v>65820.73</v>
      </c>
      <c r="V41" s="173">
        <f t="shared" si="8"/>
        <v>14291.210000000006</v>
      </c>
      <c r="W41" s="171">
        <f t="shared" si="9"/>
        <v>0.17839051207597775</v>
      </c>
      <c r="X41" s="47" t="s">
        <v>127</v>
      </c>
      <c r="Y41" s="32"/>
      <c r="AB41" s="50"/>
    </row>
    <row r="42" spans="1:28" x14ac:dyDescent="0.15">
      <c r="A42" s="37" t="s">
        <v>13</v>
      </c>
      <c r="B42" s="37" t="s">
        <v>379</v>
      </c>
      <c r="C42" s="37" t="s">
        <v>7</v>
      </c>
      <c r="D42" s="37" t="s">
        <v>81</v>
      </c>
      <c r="E42" s="38">
        <v>45908</v>
      </c>
      <c r="F42" s="38">
        <v>45940</v>
      </c>
      <c r="G42" s="155">
        <v>0</v>
      </c>
      <c r="H42" s="153"/>
      <c r="I42" s="45"/>
      <c r="J42" s="45"/>
      <c r="K42" s="46"/>
      <c r="L42" s="169"/>
      <c r="M42" s="169"/>
      <c r="N42" s="45"/>
      <c r="O42" s="46"/>
      <c r="P42" s="169"/>
      <c r="Q42" s="169"/>
      <c r="R42" s="45"/>
      <c r="S42" s="46"/>
      <c r="T42" s="176">
        <v>0</v>
      </c>
      <c r="U42" s="176">
        <v>0</v>
      </c>
      <c r="V42" s="173">
        <f t="shared" ref="V42:V45" si="29">T42-U42</f>
        <v>0</v>
      </c>
      <c r="W42" s="171" t="e">
        <f t="shared" ref="W42:W45" si="30">V42/T42*100%</f>
        <v>#DIV/0!</v>
      </c>
      <c r="X42" s="47"/>
      <c r="Y42" s="32"/>
      <c r="AB42" s="50"/>
    </row>
    <row r="43" spans="1:28" x14ac:dyDescent="0.15">
      <c r="A43" s="37" t="s">
        <v>13</v>
      </c>
      <c r="B43" s="37" t="s">
        <v>380</v>
      </c>
      <c r="C43" s="37" t="s">
        <v>7</v>
      </c>
      <c r="D43" s="37" t="s">
        <v>317</v>
      </c>
      <c r="E43" s="38">
        <v>45910</v>
      </c>
      <c r="F43" s="38">
        <v>45971</v>
      </c>
      <c r="G43" s="155">
        <v>1</v>
      </c>
      <c r="H43" s="153"/>
      <c r="I43" s="45"/>
      <c r="J43" s="45"/>
      <c r="K43" s="46"/>
      <c r="L43" s="169"/>
      <c r="M43" s="169"/>
      <c r="N43" s="45"/>
      <c r="O43" s="46"/>
      <c r="P43" s="169"/>
      <c r="Q43" s="169"/>
      <c r="R43" s="45"/>
      <c r="S43" s="46"/>
      <c r="T43" s="176">
        <v>0</v>
      </c>
      <c r="U43" s="176">
        <v>-124.69</v>
      </c>
      <c r="V43" s="173">
        <f t="shared" si="29"/>
        <v>124.69</v>
      </c>
      <c r="W43" s="171" t="e">
        <f t="shared" si="30"/>
        <v>#DIV/0!</v>
      </c>
      <c r="X43" s="47"/>
      <c r="Y43" s="32"/>
      <c r="AB43" s="50"/>
    </row>
    <row r="44" spans="1:28" x14ac:dyDescent="0.15">
      <c r="A44" s="37" t="s">
        <v>13</v>
      </c>
      <c r="B44" s="37" t="s">
        <v>382</v>
      </c>
      <c r="C44" s="37" t="s">
        <v>383</v>
      </c>
      <c r="D44" s="37" t="s">
        <v>10</v>
      </c>
      <c r="E44" s="38">
        <v>45931</v>
      </c>
      <c r="F44" s="38">
        <v>46142</v>
      </c>
      <c r="G44" s="155">
        <v>4.5674899999999997E-2</v>
      </c>
      <c r="H44" s="153"/>
      <c r="I44" s="45"/>
      <c r="J44" s="45"/>
      <c r="K44" s="46"/>
      <c r="L44" s="169"/>
      <c r="M44" s="169"/>
      <c r="N44" s="45"/>
      <c r="O44" s="46"/>
      <c r="P44" s="169"/>
      <c r="Q44" s="169"/>
      <c r="R44" s="45"/>
      <c r="S44" s="46"/>
      <c r="T44" s="176">
        <v>271517.36</v>
      </c>
      <c r="U44" s="176">
        <v>262814.21000000002</v>
      </c>
      <c r="V44" s="173">
        <f t="shared" si="29"/>
        <v>8703.1499999999651</v>
      </c>
      <c r="W44" s="171">
        <f t="shared" si="30"/>
        <v>3.2053751553860005E-2</v>
      </c>
      <c r="X44" s="47" t="s">
        <v>127</v>
      </c>
      <c r="Y44" s="32"/>
      <c r="AB44" s="50"/>
    </row>
    <row r="45" spans="1:28" x14ac:dyDescent="0.15">
      <c r="A45" s="37" t="s">
        <v>13</v>
      </c>
      <c r="B45" s="37" t="s">
        <v>384</v>
      </c>
      <c r="C45" s="37" t="s">
        <v>387</v>
      </c>
      <c r="D45" s="37" t="s">
        <v>10</v>
      </c>
      <c r="E45" s="38">
        <v>45931</v>
      </c>
      <c r="F45" s="38">
        <v>46022</v>
      </c>
      <c r="G45" s="155">
        <v>0.18145312999999999</v>
      </c>
      <c r="H45" s="153"/>
      <c r="I45" s="45"/>
      <c r="J45" s="45"/>
      <c r="K45" s="46"/>
      <c r="L45" s="169"/>
      <c r="M45" s="169"/>
      <c r="N45" s="45"/>
      <c r="O45" s="46"/>
      <c r="P45" s="169"/>
      <c r="Q45" s="169"/>
      <c r="R45" s="45"/>
      <c r="S45" s="46"/>
      <c r="T45" s="176">
        <v>28248.799999999999</v>
      </c>
      <c r="U45" s="176">
        <v>23845.82</v>
      </c>
      <c r="V45" s="173">
        <f t="shared" si="29"/>
        <v>4402.9799999999996</v>
      </c>
      <c r="W45" s="171">
        <f t="shared" si="30"/>
        <v>0.15586431990031435</v>
      </c>
      <c r="X45" s="47" t="s">
        <v>127</v>
      </c>
      <c r="Y45" s="32"/>
      <c r="AB45" s="50"/>
    </row>
    <row r="46" spans="1:28" x14ac:dyDescent="0.15">
      <c r="A46" s="254" t="s">
        <v>105</v>
      </c>
      <c r="B46" s="255"/>
      <c r="C46" s="255"/>
      <c r="D46" s="255"/>
      <c r="E46" s="255"/>
      <c r="F46" s="255"/>
      <c r="G46" s="158"/>
      <c r="H46" s="156">
        <f>SUM(H5:H29)</f>
        <v>3468642.9899999993</v>
      </c>
      <c r="I46" s="48">
        <f>SUM(I5:I29)</f>
        <v>3123393.2099999995</v>
      </c>
      <c r="J46" s="48">
        <f>SUM(J5:J29)</f>
        <v>345249.78</v>
      </c>
      <c r="K46" s="49">
        <f t="shared" ref="K46" si="31">J46/H46*100%</f>
        <v>9.9534538721726476E-2</v>
      </c>
      <c r="L46" s="48">
        <f>SUM(L5:L34)</f>
        <v>4481676.04</v>
      </c>
      <c r="M46" s="48">
        <f>SUM(M5:M34)</f>
        <v>4255898.83</v>
      </c>
      <c r="N46" s="48">
        <f>SUM(N5:N34)</f>
        <v>225777.2099999999</v>
      </c>
      <c r="O46" s="49">
        <f t="shared" si="5"/>
        <v>5.0377851496825263E-2</v>
      </c>
      <c r="P46" s="48">
        <f>SUM(P5:P41)</f>
        <v>6365197.1899999985</v>
      </c>
      <c r="Q46" s="48">
        <f>SUM(Q5:Q41)</f>
        <v>5742007.3900000006</v>
      </c>
      <c r="R46" s="48">
        <f>SUM(R5:R41)</f>
        <v>623189.80000000005</v>
      </c>
      <c r="S46" s="49">
        <f t="shared" si="7"/>
        <v>9.7905812090010078E-2</v>
      </c>
      <c r="T46" s="174">
        <f>SUM(T5:T45)</f>
        <v>7147798.6100000003</v>
      </c>
      <c r="U46" s="174">
        <f>SUM(U5:U45)</f>
        <v>6208556.1600000011</v>
      </c>
      <c r="V46" s="174">
        <f>SUM(V5:V45)</f>
        <v>939242.44999999972</v>
      </c>
      <c r="W46" s="172">
        <f>V46/T46*100%</f>
        <v>0.13140303766896416</v>
      </c>
      <c r="X46" s="47"/>
      <c r="Y46" s="32"/>
    </row>
    <row r="48" spans="1:28" x14ac:dyDescent="0.15">
      <c r="H48" s="162">
        <f>H49*1.55</f>
        <v>2009487.4715</v>
      </c>
      <c r="I48" s="162">
        <f t="shared" ref="I48" si="32">I49*1.55</f>
        <v>1361843.1749999998</v>
      </c>
      <c r="J48" s="162">
        <f>H48-I48</f>
        <v>647644.29650000017</v>
      </c>
      <c r="K48" s="163">
        <f>J48/H48*100%</f>
        <v>0.32229327412355563</v>
      </c>
      <c r="L48" s="162">
        <f>L49*1.55</f>
        <v>2162714.7365000001</v>
      </c>
      <c r="M48" s="162">
        <f t="shared" ref="M48" si="33">M49*1.55</f>
        <v>1482495.3145000001</v>
      </c>
      <c r="N48" s="162">
        <f>L48-M48</f>
        <v>680219.42200000002</v>
      </c>
      <c r="O48" s="163">
        <f>N48/L48*100%</f>
        <v>0.31452110189105376</v>
      </c>
      <c r="P48" s="162">
        <f>P49*1.55</f>
        <v>2929494.4509999999</v>
      </c>
      <c r="Q48" s="162">
        <f t="shared" ref="Q48" si="34">Q49*1.55</f>
        <v>2208395.3909999998</v>
      </c>
      <c r="R48" s="162">
        <f>P48-Q48</f>
        <v>721099.06</v>
      </c>
      <c r="S48" s="163">
        <f>R48/P48*100%</f>
        <v>0.24615136572586738</v>
      </c>
      <c r="T48" s="162">
        <f>T49*1.55</f>
        <v>2918887.9249999998</v>
      </c>
      <c r="U48" s="162">
        <f t="shared" ref="U48" si="35">U49*1.55</f>
        <v>2140530.5939999996</v>
      </c>
      <c r="V48" s="162">
        <f>T48-U48</f>
        <v>778357.33100000024</v>
      </c>
      <c r="W48" s="163">
        <f>V48/T48*100%</f>
        <v>0.26666228748745135</v>
      </c>
      <c r="X48" s="77"/>
    </row>
    <row r="49" spans="1:32" x14ac:dyDescent="0.15">
      <c r="H49" s="164">
        <f>SUBTOTAL(9,H53:H74)</f>
        <v>1296443.53</v>
      </c>
      <c r="I49" s="164">
        <f>SUBTOTAL(9,I53:I74)</f>
        <v>878608.49999999988</v>
      </c>
      <c r="J49" s="164">
        <f>H49-I49</f>
        <v>417835.03000000014</v>
      </c>
      <c r="K49" s="163">
        <f>J49/H49*100%</f>
        <v>0.32229327412355563</v>
      </c>
      <c r="L49" s="164">
        <f>SUBTOTAL(9,L54:L74)</f>
        <v>1395299.83</v>
      </c>
      <c r="M49" s="164">
        <f>SUBTOTAL(9,M54:M74)</f>
        <v>956448.59</v>
      </c>
      <c r="N49" s="164">
        <f>L49-M49</f>
        <v>438851.24000000011</v>
      </c>
      <c r="O49" s="163">
        <f>N49/L49*100%</f>
        <v>0.31452110189105381</v>
      </c>
      <c r="P49" s="164">
        <f>SUBTOTAL(9,P53:P77)</f>
        <v>1889996.42</v>
      </c>
      <c r="Q49" s="164">
        <f>SUBTOTAL(9,Q53:Q77)</f>
        <v>1424771.22</v>
      </c>
      <c r="R49" s="164">
        <f>P49-Q49</f>
        <v>465225.19999999995</v>
      </c>
      <c r="S49" s="163">
        <f>R49/P49*100%</f>
        <v>0.24615136572586735</v>
      </c>
      <c r="T49" s="164">
        <f>SUBTOTAL(9,T53:T78)</f>
        <v>1883153.4999999998</v>
      </c>
      <c r="U49" s="164">
        <f>SUBTOTAL(9,U53:U78)</f>
        <v>1380987.4799999997</v>
      </c>
      <c r="V49" s="164">
        <f>T49-U49</f>
        <v>502166.02</v>
      </c>
      <c r="W49" s="163">
        <f>V49/T49*100%</f>
        <v>0.2666622874874513</v>
      </c>
      <c r="X49" s="165"/>
    </row>
    <row r="50" spans="1:32" ht="39" x14ac:dyDescent="0.15">
      <c r="A50" s="42" t="s">
        <v>5</v>
      </c>
      <c r="B50" s="42" t="s">
        <v>0</v>
      </c>
      <c r="C50" s="42" t="s">
        <v>1</v>
      </c>
      <c r="D50" s="42" t="s">
        <v>4</v>
      </c>
      <c r="E50" s="42" t="s">
        <v>2</v>
      </c>
      <c r="F50" s="42" t="s">
        <v>3</v>
      </c>
      <c r="G50" s="160" t="s">
        <v>300</v>
      </c>
      <c r="H50" s="43" t="s">
        <v>338</v>
      </c>
      <c r="I50" s="43" t="s">
        <v>339</v>
      </c>
      <c r="J50" s="43" t="s">
        <v>318</v>
      </c>
      <c r="K50" s="43" t="s">
        <v>129</v>
      </c>
      <c r="L50" s="43" t="s">
        <v>334</v>
      </c>
      <c r="M50" s="43" t="s">
        <v>335</v>
      </c>
      <c r="N50" s="43" t="s">
        <v>319</v>
      </c>
      <c r="O50" s="43" t="s">
        <v>195</v>
      </c>
      <c r="P50" s="43" t="s">
        <v>336</v>
      </c>
      <c r="Q50" s="43" t="s">
        <v>337</v>
      </c>
      <c r="R50" s="43" t="s">
        <v>327</v>
      </c>
      <c r="S50" s="43" t="s">
        <v>328</v>
      </c>
      <c r="T50" s="170" t="s">
        <v>376</v>
      </c>
      <c r="U50" s="170" t="s">
        <v>377</v>
      </c>
      <c r="V50" s="170" t="s">
        <v>329</v>
      </c>
      <c r="W50" s="170" t="s">
        <v>330</v>
      </c>
      <c r="X50" s="44" t="s">
        <v>125</v>
      </c>
      <c r="Y50" s="44" t="s">
        <v>128</v>
      </c>
      <c r="Z50" s="39" t="s">
        <v>131</v>
      </c>
    </row>
    <row r="51" spans="1:32" x14ac:dyDescent="0.15">
      <c r="A51" s="37" t="s">
        <v>168</v>
      </c>
      <c r="B51" s="37" t="s">
        <v>169</v>
      </c>
      <c r="C51" s="37" t="s">
        <v>170</v>
      </c>
      <c r="D51" s="37" t="s">
        <v>10</v>
      </c>
      <c r="E51" s="38">
        <v>44562</v>
      </c>
      <c r="F51" s="38">
        <v>46387</v>
      </c>
      <c r="G51" s="155">
        <v>0</v>
      </c>
      <c r="H51" s="45">
        <v>0</v>
      </c>
      <c r="I51" s="45">
        <v>3475.2</v>
      </c>
      <c r="J51" s="45">
        <f t="shared" ref="J51:J74" si="36">H51-I51</f>
        <v>-3475.2</v>
      </c>
      <c r="K51" s="46" t="e">
        <f>J51/H51*100%</f>
        <v>#DIV/0!</v>
      </c>
      <c r="L51" s="45">
        <v>0</v>
      </c>
      <c r="M51" s="45">
        <v>96409.97</v>
      </c>
      <c r="N51" s="45">
        <f t="shared" ref="N51:N74" si="37">L51-M51</f>
        <v>-96409.97</v>
      </c>
      <c r="O51" s="46" t="e">
        <f>N51/L51*100%</f>
        <v>#DIV/0!</v>
      </c>
      <c r="P51" s="169">
        <v>0</v>
      </c>
      <c r="Q51" s="169">
        <v>69603.92</v>
      </c>
      <c r="R51" s="45">
        <f t="shared" ref="R51:R74" si="38">P51-Q51</f>
        <v>-69603.92</v>
      </c>
      <c r="S51" s="46" t="e">
        <f>R51/P51*100%</f>
        <v>#DIV/0!</v>
      </c>
      <c r="T51" s="176">
        <v>0</v>
      </c>
      <c r="U51" s="176">
        <v>16998.560000000001</v>
      </c>
      <c r="V51" s="173">
        <f t="shared" ref="V51:V77" si="39">T51-U51</f>
        <v>-16998.560000000001</v>
      </c>
      <c r="W51" s="171" t="e">
        <f>V51/T51*100%</f>
        <v>#DIV/0!</v>
      </c>
      <c r="X51" s="47"/>
      <c r="Y51" s="32"/>
    </row>
    <row r="52" spans="1:32" x14ac:dyDescent="0.15">
      <c r="A52" s="37" t="s">
        <v>168</v>
      </c>
      <c r="B52" s="37" t="s">
        <v>171</v>
      </c>
      <c r="C52" s="37" t="s">
        <v>9</v>
      </c>
      <c r="D52" s="37" t="s">
        <v>10</v>
      </c>
      <c r="E52" s="38">
        <v>44562</v>
      </c>
      <c r="F52" s="38">
        <v>46387</v>
      </c>
      <c r="G52" s="155">
        <v>0</v>
      </c>
      <c r="H52" s="161">
        <v>0</v>
      </c>
      <c r="I52" s="161">
        <v>181084.27</v>
      </c>
      <c r="J52" s="45">
        <f t="shared" si="36"/>
        <v>-181084.27</v>
      </c>
      <c r="K52" s="46" t="e">
        <f t="shared" ref="K52:K79" si="40">J52/H52*100%</f>
        <v>#DIV/0!</v>
      </c>
      <c r="L52" s="45">
        <v>0</v>
      </c>
      <c r="M52" s="45">
        <v>45365.83</v>
      </c>
      <c r="N52" s="45">
        <f t="shared" si="37"/>
        <v>-45365.83</v>
      </c>
      <c r="O52" s="46" t="e">
        <f t="shared" ref="O52:O79" si="41">N52/L52*100%</f>
        <v>#DIV/0!</v>
      </c>
      <c r="P52" s="169">
        <v>0</v>
      </c>
      <c r="Q52" s="169">
        <v>80320.69</v>
      </c>
      <c r="R52" s="45">
        <f t="shared" si="38"/>
        <v>-80320.69</v>
      </c>
      <c r="S52" s="46" t="e">
        <f t="shared" ref="S52:S79" si="42">R52/P52*100%</f>
        <v>#DIV/0!</v>
      </c>
      <c r="T52" s="176">
        <v>0</v>
      </c>
      <c r="U52" s="176">
        <v>203390.09</v>
      </c>
      <c r="V52" s="173">
        <f t="shared" si="39"/>
        <v>-203390.09</v>
      </c>
      <c r="W52" s="171" t="e">
        <f t="shared" ref="W52:W79" si="43">V52/T52*100%</f>
        <v>#DIV/0!</v>
      </c>
      <c r="X52" s="47"/>
      <c r="Y52" s="32"/>
    </row>
    <row r="53" spans="1:32" x14ac:dyDescent="0.15">
      <c r="A53" s="37" t="s">
        <v>168</v>
      </c>
      <c r="B53" s="37" t="s">
        <v>301</v>
      </c>
      <c r="C53" s="37" t="s">
        <v>302</v>
      </c>
      <c r="D53" s="37" t="s">
        <v>8</v>
      </c>
      <c r="E53" s="38">
        <v>45292</v>
      </c>
      <c r="F53" s="38">
        <v>45657</v>
      </c>
      <c r="G53" s="155">
        <v>0.10802863</v>
      </c>
      <c r="H53" s="161">
        <v>1793.57</v>
      </c>
      <c r="I53" s="161">
        <v>389.17</v>
      </c>
      <c r="J53" s="45">
        <f t="shared" si="36"/>
        <v>1404.3999999999999</v>
      </c>
      <c r="K53" s="46">
        <f t="shared" si="40"/>
        <v>0.78301934131369277</v>
      </c>
      <c r="L53" s="45">
        <v>0</v>
      </c>
      <c r="M53" s="45">
        <v>0</v>
      </c>
      <c r="N53" s="45">
        <f t="shared" si="37"/>
        <v>0</v>
      </c>
      <c r="O53" s="46" t="e">
        <f t="shared" si="41"/>
        <v>#DIV/0!</v>
      </c>
      <c r="P53" s="169">
        <v>0</v>
      </c>
      <c r="Q53" s="169">
        <v>0</v>
      </c>
      <c r="R53" s="45">
        <f t="shared" si="38"/>
        <v>0</v>
      </c>
      <c r="S53" s="46" t="e">
        <f t="shared" si="42"/>
        <v>#DIV/0!</v>
      </c>
      <c r="T53" s="176"/>
      <c r="U53" s="176"/>
      <c r="V53" s="173">
        <f t="shared" si="39"/>
        <v>0</v>
      </c>
      <c r="W53" s="171" t="e">
        <f t="shared" si="43"/>
        <v>#DIV/0!</v>
      </c>
      <c r="X53" s="47"/>
      <c r="Y53" s="32"/>
    </row>
    <row r="54" spans="1:32" x14ac:dyDescent="0.15">
      <c r="A54" s="37" t="s">
        <v>168</v>
      </c>
      <c r="B54" s="37" t="s">
        <v>172</v>
      </c>
      <c r="C54" s="37" t="s">
        <v>173</v>
      </c>
      <c r="D54" s="37" t="s">
        <v>8</v>
      </c>
      <c r="E54" s="38">
        <v>45292</v>
      </c>
      <c r="F54" s="38">
        <v>45657</v>
      </c>
      <c r="G54" s="155">
        <v>5.4745000000000002E-2</v>
      </c>
      <c r="H54" s="161">
        <v>7886.33</v>
      </c>
      <c r="I54" s="161">
        <v>573.83000000000004</v>
      </c>
      <c r="J54" s="45">
        <f t="shared" si="36"/>
        <v>7312.5</v>
      </c>
      <c r="K54" s="46">
        <f t="shared" si="40"/>
        <v>0.92723738418250312</v>
      </c>
      <c r="L54" s="45">
        <v>8188.83</v>
      </c>
      <c r="M54" s="45">
        <v>0</v>
      </c>
      <c r="N54" s="45">
        <f t="shared" si="37"/>
        <v>8188.83</v>
      </c>
      <c r="O54" s="46">
        <f t="shared" si="41"/>
        <v>1</v>
      </c>
      <c r="P54" s="169">
        <v>0</v>
      </c>
      <c r="Q54" s="169">
        <v>0</v>
      </c>
      <c r="R54" s="45">
        <f t="shared" si="38"/>
        <v>0</v>
      </c>
      <c r="S54" s="46" t="e">
        <f t="shared" si="42"/>
        <v>#DIV/0!</v>
      </c>
      <c r="T54" s="176"/>
      <c r="U54" s="176"/>
      <c r="V54" s="173">
        <f t="shared" si="39"/>
        <v>0</v>
      </c>
      <c r="W54" s="171" t="e">
        <f t="shared" si="43"/>
        <v>#DIV/0!</v>
      </c>
      <c r="X54" s="47"/>
      <c r="Y54" s="32"/>
    </row>
    <row r="55" spans="1:32" x14ac:dyDescent="0.15">
      <c r="A55" s="37" t="s">
        <v>168</v>
      </c>
      <c r="B55" s="37" t="s">
        <v>174</v>
      </c>
      <c r="C55" s="37" t="s">
        <v>175</v>
      </c>
      <c r="D55" s="37" t="s">
        <v>8</v>
      </c>
      <c r="E55" s="38">
        <v>45292</v>
      </c>
      <c r="F55" s="38">
        <v>45657</v>
      </c>
      <c r="G55" s="155">
        <v>0.33237959</v>
      </c>
      <c r="H55" s="161">
        <v>1024.3399999999999</v>
      </c>
      <c r="I55" s="161">
        <v>-12728.46</v>
      </c>
      <c r="J55" s="45">
        <f t="shared" si="36"/>
        <v>13752.8</v>
      </c>
      <c r="K55" s="46">
        <f t="shared" si="40"/>
        <v>13.426010894820079</v>
      </c>
      <c r="L55" s="45">
        <v>0</v>
      </c>
      <c r="M55" s="45">
        <v>27830.91</v>
      </c>
      <c r="N55" s="45">
        <f t="shared" si="37"/>
        <v>-27830.91</v>
      </c>
      <c r="O55" s="46" t="e">
        <f t="shared" si="41"/>
        <v>#DIV/0!</v>
      </c>
      <c r="P55" s="169">
        <v>0</v>
      </c>
      <c r="Q55" s="169">
        <v>272.52</v>
      </c>
      <c r="R55" s="45">
        <f t="shared" si="38"/>
        <v>-272.52</v>
      </c>
      <c r="S55" s="46" t="e">
        <f t="shared" si="42"/>
        <v>#DIV/0!</v>
      </c>
      <c r="T55" s="176"/>
      <c r="U55" s="176"/>
      <c r="V55" s="173">
        <f t="shared" si="39"/>
        <v>0</v>
      </c>
      <c r="W55" s="171" t="e">
        <f t="shared" si="43"/>
        <v>#DIV/0!</v>
      </c>
      <c r="X55" s="47"/>
      <c r="Y55" s="32"/>
    </row>
    <row r="56" spans="1:32" x14ac:dyDescent="0.15">
      <c r="A56" s="37" t="s">
        <v>168</v>
      </c>
      <c r="B56" s="37" t="s">
        <v>303</v>
      </c>
      <c r="C56" s="37" t="s">
        <v>304</v>
      </c>
      <c r="D56" s="37" t="s">
        <v>8</v>
      </c>
      <c r="E56" s="38">
        <v>45474</v>
      </c>
      <c r="F56" s="38">
        <v>45657</v>
      </c>
      <c r="G56" s="155">
        <v>-0.88630043000000003</v>
      </c>
      <c r="H56" s="161">
        <v>0.01</v>
      </c>
      <c r="I56" s="161">
        <v>0</v>
      </c>
      <c r="J56" s="45">
        <f t="shared" si="36"/>
        <v>0.01</v>
      </c>
      <c r="K56" s="46">
        <f t="shared" si="40"/>
        <v>1</v>
      </c>
      <c r="L56" s="45">
        <v>0</v>
      </c>
      <c r="M56" s="45">
        <v>0</v>
      </c>
      <c r="N56" s="45">
        <f t="shared" si="37"/>
        <v>0</v>
      </c>
      <c r="O56" s="46" t="e">
        <f t="shared" si="41"/>
        <v>#DIV/0!</v>
      </c>
      <c r="P56" s="169">
        <v>0</v>
      </c>
      <c r="Q56" s="169">
        <v>0</v>
      </c>
      <c r="R56" s="45">
        <f t="shared" si="38"/>
        <v>0</v>
      </c>
      <c r="S56" s="46" t="e">
        <f t="shared" si="42"/>
        <v>#DIV/0!</v>
      </c>
      <c r="T56" s="176"/>
      <c r="U56" s="176"/>
      <c r="V56" s="173">
        <f t="shared" si="39"/>
        <v>0</v>
      </c>
      <c r="W56" s="171" t="e">
        <f t="shared" si="43"/>
        <v>#DIV/0!</v>
      </c>
      <c r="X56" s="47"/>
      <c r="Y56" s="32"/>
    </row>
    <row r="57" spans="1:32" x14ac:dyDescent="0.15">
      <c r="A57" s="37" t="s">
        <v>168</v>
      </c>
      <c r="B57" s="37" t="s">
        <v>305</v>
      </c>
      <c r="C57" s="37" t="s">
        <v>306</v>
      </c>
      <c r="D57" s="37" t="s">
        <v>8</v>
      </c>
      <c r="E57" s="38">
        <v>45474</v>
      </c>
      <c r="F57" s="38">
        <v>45657</v>
      </c>
      <c r="G57" s="155">
        <v>-3.1242820000000001E-2</v>
      </c>
      <c r="H57" s="161">
        <v>5561.79</v>
      </c>
      <c r="I57" s="161">
        <v>778.34</v>
      </c>
      <c r="J57" s="45">
        <f t="shared" si="36"/>
        <v>4783.45</v>
      </c>
      <c r="K57" s="46">
        <f t="shared" si="40"/>
        <v>0.86005584533037027</v>
      </c>
      <c r="L57" s="45">
        <v>0</v>
      </c>
      <c r="M57" s="45">
        <v>0</v>
      </c>
      <c r="N57" s="45">
        <f t="shared" si="37"/>
        <v>0</v>
      </c>
      <c r="O57" s="46" t="e">
        <f t="shared" si="41"/>
        <v>#DIV/0!</v>
      </c>
      <c r="P57" s="169">
        <v>0</v>
      </c>
      <c r="Q57" s="169">
        <v>0</v>
      </c>
      <c r="R57" s="45">
        <f t="shared" si="38"/>
        <v>0</v>
      </c>
      <c r="S57" s="46" t="e">
        <f t="shared" si="42"/>
        <v>#DIV/0!</v>
      </c>
      <c r="T57" s="176"/>
      <c r="U57" s="176"/>
      <c r="V57" s="173">
        <f t="shared" si="39"/>
        <v>0</v>
      </c>
      <c r="W57" s="171" t="e">
        <f t="shared" si="43"/>
        <v>#DIV/0!</v>
      </c>
      <c r="X57" s="47"/>
      <c r="Y57" s="32"/>
    </row>
    <row r="58" spans="1:32" x14ac:dyDescent="0.15">
      <c r="A58" s="37" t="s">
        <v>168</v>
      </c>
      <c r="B58" s="37" t="s">
        <v>307</v>
      </c>
      <c r="C58" s="37" t="s">
        <v>308</v>
      </c>
      <c r="D58" s="37" t="s">
        <v>8</v>
      </c>
      <c r="E58" s="38">
        <v>45474</v>
      </c>
      <c r="F58" s="38">
        <v>45657</v>
      </c>
      <c r="G58" s="155">
        <v>0.31128317</v>
      </c>
      <c r="H58" s="161">
        <v>3877.15</v>
      </c>
      <c r="I58" s="161">
        <v>3037.37</v>
      </c>
      <c r="J58" s="45">
        <f t="shared" si="36"/>
        <v>839.7800000000002</v>
      </c>
      <c r="K58" s="46">
        <f t="shared" si="40"/>
        <v>0.21659724282011275</v>
      </c>
      <c r="L58" s="45">
        <v>0</v>
      </c>
      <c r="M58" s="45">
        <v>0</v>
      </c>
      <c r="N58" s="45">
        <f t="shared" si="37"/>
        <v>0</v>
      </c>
      <c r="O58" s="46" t="e">
        <f t="shared" si="41"/>
        <v>#DIV/0!</v>
      </c>
      <c r="P58" s="169">
        <v>0</v>
      </c>
      <c r="Q58" s="169">
        <v>0</v>
      </c>
      <c r="R58" s="45">
        <f t="shared" si="38"/>
        <v>0</v>
      </c>
      <c r="S58" s="46" t="e">
        <f t="shared" si="42"/>
        <v>#DIV/0!</v>
      </c>
      <c r="T58" s="176"/>
      <c r="U58" s="176"/>
      <c r="V58" s="173">
        <f t="shared" si="39"/>
        <v>0</v>
      </c>
      <c r="W58" s="171" t="e">
        <f t="shared" si="43"/>
        <v>#DIV/0!</v>
      </c>
      <c r="X58" s="47"/>
      <c r="Y58" s="32"/>
    </row>
    <row r="59" spans="1:32" x14ac:dyDescent="0.15">
      <c r="A59" s="37" t="s">
        <v>168</v>
      </c>
      <c r="B59" s="37" t="s">
        <v>176</v>
      </c>
      <c r="C59" s="37" t="s">
        <v>177</v>
      </c>
      <c r="D59" s="37" t="s">
        <v>8</v>
      </c>
      <c r="E59" s="38">
        <v>45481</v>
      </c>
      <c r="F59" s="38">
        <v>45657</v>
      </c>
      <c r="G59" s="155">
        <v>0.34043319</v>
      </c>
      <c r="H59" s="161">
        <v>2878.38</v>
      </c>
      <c r="I59" s="161">
        <v>746.5</v>
      </c>
      <c r="J59" s="45">
        <f t="shared" si="36"/>
        <v>2131.88</v>
      </c>
      <c r="K59" s="46">
        <f t="shared" si="40"/>
        <v>0.74065272827076345</v>
      </c>
      <c r="L59" s="45">
        <v>0</v>
      </c>
      <c r="M59" s="45">
        <v>0</v>
      </c>
      <c r="N59" s="45">
        <f t="shared" si="37"/>
        <v>0</v>
      </c>
      <c r="O59" s="46" t="e">
        <f t="shared" si="41"/>
        <v>#DIV/0!</v>
      </c>
      <c r="P59" s="169">
        <v>0</v>
      </c>
      <c r="Q59" s="169">
        <v>0</v>
      </c>
      <c r="R59" s="45">
        <f t="shared" si="38"/>
        <v>0</v>
      </c>
      <c r="S59" s="46" t="e">
        <f t="shared" si="42"/>
        <v>#DIV/0!</v>
      </c>
      <c r="T59" s="176"/>
      <c r="U59" s="176"/>
      <c r="V59" s="173">
        <f t="shared" si="39"/>
        <v>0</v>
      </c>
      <c r="W59" s="171" t="e">
        <f t="shared" si="43"/>
        <v>#DIV/0!</v>
      </c>
      <c r="X59" s="47"/>
      <c r="Y59" s="32"/>
    </row>
    <row r="60" spans="1:32" x14ac:dyDescent="0.15">
      <c r="A60" s="37" t="s">
        <v>168</v>
      </c>
      <c r="B60" s="37" t="s">
        <v>309</v>
      </c>
      <c r="C60" s="37" t="s">
        <v>310</v>
      </c>
      <c r="D60" s="37" t="s">
        <v>8</v>
      </c>
      <c r="E60" s="38">
        <v>45523</v>
      </c>
      <c r="F60" s="38">
        <v>45657</v>
      </c>
      <c r="G60" s="155">
        <v>0.40436087999999998</v>
      </c>
      <c r="H60" s="161">
        <v>-75723.16</v>
      </c>
      <c r="I60" s="161">
        <v>3519.9</v>
      </c>
      <c r="J60" s="45">
        <f t="shared" si="36"/>
        <v>-79243.06</v>
      </c>
      <c r="K60" s="46">
        <f t="shared" si="40"/>
        <v>1.0464837970311855</v>
      </c>
      <c r="L60" s="45">
        <v>0</v>
      </c>
      <c r="M60" s="45">
        <v>0</v>
      </c>
      <c r="N60" s="45">
        <f t="shared" si="37"/>
        <v>0</v>
      </c>
      <c r="O60" s="46" t="e">
        <f t="shared" si="41"/>
        <v>#DIV/0!</v>
      </c>
      <c r="P60" s="169">
        <v>0</v>
      </c>
      <c r="Q60" s="169">
        <v>0</v>
      </c>
      <c r="R60" s="45">
        <f t="shared" si="38"/>
        <v>0</v>
      </c>
      <c r="S60" s="46" t="e">
        <f t="shared" si="42"/>
        <v>#DIV/0!</v>
      </c>
      <c r="T60" s="176"/>
      <c r="U60" s="176"/>
      <c r="V60" s="173">
        <f t="shared" si="39"/>
        <v>0</v>
      </c>
      <c r="W60" s="171" t="e">
        <f t="shared" si="43"/>
        <v>#DIV/0!</v>
      </c>
      <c r="X60" s="47"/>
      <c r="Y60" s="32"/>
    </row>
    <row r="61" spans="1:32" x14ac:dyDescent="0.15">
      <c r="A61" s="37" t="s">
        <v>168</v>
      </c>
      <c r="B61" s="37" t="s">
        <v>311</v>
      </c>
      <c r="C61" s="37" t="s">
        <v>312</v>
      </c>
      <c r="D61" s="37" t="s">
        <v>8</v>
      </c>
      <c r="E61" s="38">
        <v>45551</v>
      </c>
      <c r="F61" s="38">
        <v>45657</v>
      </c>
      <c r="G61" s="155">
        <v>0.35844893999999999</v>
      </c>
      <c r="H61" s="161">
        <v>468.27</v>
      </c>
      <c r="I61" s="161">
        <v>0</v>
      </c>
      <c r="J61" s="45">
        <f t="shared" si="36"/>
        <v>468.27</v>
      </c>
      <c r="K61" s="46">
        <f t="shared" si="40"/>
        <v>1</v>
      </c>
      <c r="L61" s="45">
        <v>0</v>
      </c>
      <c r="M61" s="45">
        <v>0</v>
      </c>
      <c r="N61" s="45">
        <f t="shared" si="37"/>
        <v>0</v>
      </c>
      <c r="O61" s="46" t="e">
        <f t="shared" si="41"/>
        <v>#DIV/0!</v>
      </c>
      <c r="P61" s="169">
        <v>0</v>
      </c>
      <c r="Q61" s="169">
        <v>0</v>
      </c>
      <c r="R61" s="45">
        <f t="shared" si="38"/>
        <v>0</v>
      </c>
      <c r="S61" s="46" t="e">
        <f t="shared" si="42"/>
        <v>#DIV/0!</v>
      </c>
      <c r="T61" s="176"/>
      <c r="U61" s="176"/>
      <c r="V61" s="173">
        <f t="shared" si="39"/>
        <v>0</v>
      </c>
      <c r="W61" s="171" t="e">
        <f t="shared" si="43"/>
        <v>#DIV/0!</v>
      </c>
      <c r="X61" s="47"/>
      <c r="Y61" s="32"/>
      <c r="AE61" s="50"/>
      <c r="AF61" s="50"/>
    </row>
    <row r="62" spans="1:32" x14ac:dyDescent="0.15">
      <c r="A62" s="37" t="s">
        <v>168</v>
      </c>
      <c r="B62" s="37" t="s">
        <v>313</v>
      </c>
      <c r="C62" s="37" t="s">
        <v>314</v>
      </c>
      <c r="D62" s="37" t="s">
        <v>8</v>
      </c>
      <c r="E62" s="38">
        <v>45523</v>
      </c>
      <c r="F62" s="38">
        <v>45657</v>
      </c>
      <c r="G62" s="155">
        <v>0.10546549</v>
      </c>
      <c r="H62" s="161">
        <v>1866.78</v>
      </c>
      <c r="I62" s="161">
        <v>0</v>
      </c>
      <c r="J62" s="45">
        <f t="shared" si="36"/>
        <v>1866.78</v>
      </c>
      <c r="K62" s="46">
        <f t="shared" si="40"/>
        <v>1</v>
      </c>
      <c r="L62" s="45">
        <v>0</v>
      </c>
      <c r="M62" s="45">
        <v>0</v>
      </c>
      <c r="N62" s="45">
        <f t="shared" si="37"/>
        <v>0</v>
      </c>
      <c r="O62" s="46" t="e">
        <f t="shared" si="41"/>
        <v>#DIV/0!</v>
      </c>
      <c r="P62" s="169">
        <v>0</v>
      </c>
      <c r="Q62" s="169">
        <v>0</v>
      </c>
      <c r="R62" s="45">
        <f t="shared" si="38"/>
        <v>0</v>
      </c>
      <c r="S62" s="46" t="e">
        <f t="shared" si="42"/>
        <v>#DIV/0!</v>
      </c>
      <c r="T62" s="176"/>
      <c r="U62" s="176"/>
      <c r="V62" s="173">
        <f t="shared" si="39"/>
        <v>0</v>
      </c>
      <c r="W62" s="171" t="e">
        <f t="shared" si="43"/>
        <v>#DIV/0!</v>
      </c>
      <c r="X62" s="47"/>
      <c r="Y62" s="32"/>
      <c r="AE62" s="50"/>
      <c r="AF62" s="50"/>
    </row>
    <row r="63" spans="1:32" x14ac:dyDescent="0.15">
      <c r="A63" s="37" t="s">
        <v>168</v>
      </c>
      <c r="B63" s="37" t="s">
        <v>315</v>
      </c>
      <c r="C63" s="37" t="s">
        <v>316</v>
      </c>
      <c r="D63" s="37" t="s">
        <v>317</v>
      </c>
      <c r="E63" s="38">
        <v>45589</v>
      </c>
      <c r="F63" s="38">
        <v>45657</v>
      </c>
      <c r="G63" s="155">
        <v>0</v>
      </c>
      <c r="H63" s="161">
        <v>0</v>
      </c>
      <c r="I63" s="161">
        <v>181.18</v>
      </c>
      <c r="J63" s="45">
        <f t="shared" si="36"/>
        <v>-181.18</v>
      </c>
      <c r="K63" s="46" t="e">
        <f t="shared" si="40"/>
        <v>#DIV/0!</v>
      </c>
      <c r="L63" s="45">
        <v>0</v>
      </c>
      <c r="M63" s="45">
        <v>0</v>
      </c>
      <c r="N63" s="45">
        <f t="shared" si="37"/>
        <v>0</v>
      </c>
      <c r="O63" s="46" t="e">
        <f t="shared" si="41"/>
        <v>#DIV/0!</v>
      </c>
      <c r="P63" s="169">
        <v>0</v>
      </c>
      <c r="Q63" s="169">
        <v>0</v>
      </c>
      <c r="R63" s="45">
        <f t="shared" si="38"/>
        <v>0</v>
      </c>
      <c r="S63" s="46" t="e">
        <f t="shared" si="42"/>
        <v>#DIV/0!</v>
      </c>
      <c r="T63" s="176"/>
      <c r="U63" s="176"/>
      <c r="V63" s="173">
        <f t="shared" si="39"/>
        <v>0</v>
      </c>
      <c r="W63" s="171" t="e">
        <f t="shared" si="43"/>
        <v>#DIV/0!</v>
      </c>
      <c r="X63" s="47"/>
      <c r="Y63" s="32"/>
      <c r="AE63" s="50"/>
      <c r="AF63" s="50"/>
    </row>
    <row r="64" spans="1:32" x14ac:dyDescent="0.15">
      <c r="A64" s="37" t="s">
        <v>168</v>
      </c>
      <c r="B64" s="37" t="s">
        <v>178</v>
      </c>
      <c r="C64" s="37" t="s">
        <v>389</v>
      </c>
      <c r="D64" s="37" t="s">
        <v>10</v>
      </c>
      <c r="E64" s="38">
        <v>45627</v>
      </c>
      <c r="F64" s="38">
        <v>46022</v>
      </c>
      <c r="G64" s="155">
        <v>0.23231964999999999</v>
      </c>
      <c r="H64" s="161">
        <v>349065.84</v>
      </c>
      <c r="I64" s="161">
        <v>220734.84</v>
      </c>
      <c r="J64" s="45">
        <f t="shared" si="36"/>
        <v>128331.00000000003</v>
      </c>
      <c r="K64" s="46">
        <f t="shared" si="40"/>
        <v>0.3676412449869057</v>
      </c>
      <c r="L64" s="45">
        <v>373508.18</v>
      </c>
      <c r="M64" s="45">
        <v>264045.39</v>
      </c>
      <c r="N64" s="45">
        <f t="shared" si="37"/>
        <v>109462.78999999998</v>
      </c>
      <c r="O64" s="46">
        <f t="shared" si="41"/>
        <v>0.29306664716151593</v>
      </c>
      <c r="P64" s="169">
        <v>394340.76</v>
      </c>
      <c r="Q64" s="169">
        <v>308260.98</v>
      </c>
      <c r="R64" s="45">
        <f t="shared" si="38"/>
        <v>86079.780000000028</v>
      </c>
      <c r="S64" s="46">
        <f t="shared" si="42"/>
        <v>0.21828780773258141</v>
      </c>
      <c r="T64" s="176">
        <v>456589.22</v>
      </c>
      <c r="U64" s="176">
        <v>267081.96999999997</v>
      </c>
      <c r="V64" s="173">
        <f t="shared" si="39"/>
        <v>189507.25</v>
      </c>
      <c r="W64" s="171">
        <f t="shared" si="43"/>
        <v>0.41504976836728646</v>
      </c>
      <c r="X64" s="47"/>
      <c r="Y64" s="32"/>
    </row>
    <row r="65" spans="1:34" x14ac:dyDescent="0.15">
      <c r="A65" s="37" t="s">
        <v>168</v>
      </c>
      <c r="B65" s="37" t="s">
        <v>180</v>
      </c>
      <c r="C65" s="37" t="s">
        <v>181</v>
      </c>
      <c r="D65" s="37" t="s">
        <v>10</v>
      </c>
      <c r="E65" s="38">
        <v>45627</v>
      </c>
      <c r="F65" s="38">
        <v>46080</v>
      </c>
      <c r="G65" s="155">
        <v>9.2156890000000005E-2</v>
      </c>
      <c r="H65" s="161">
        <v>0</v>
      </c>
      <c r="I65" s="161">
        <v>0</v>
      </c>
      <c r="J65" s="45">
        <f t="shared" si="36"/>
        <v>0</v>
      </c>
      <c r="K65" s="46" t="e">
        <f t="shared" si="40"/>
        <v>#DIV/0!</v>
      </c>
      <c r="L65" s="45">
        <v>0</v>
      </c>
      <c r="M65" s="45">
        <v>42139.1</v>
      </c>
      <c r="N65" s="45">
        <f t="shared" si="37"/>
        <v>-42139.1</v>
      </c>
      <c r="O65" s="46" t="e">
        <f t="shared" si="41"/>
        <v>#DIV/0!</v>
      </c>
      <c r="P65" s="169">
        <v>188019.5</v>
      </c>
      <c r="Q65" s="169">
        <v>133735.13</v>
      </c>
      <c r="R65" s="45">
        <f t="shared" si="38"/>
        <v>54284.369999999995</v>
      </c>
      <c r="S65" s="46">
        <f t="shared" si="42"/>
        <v>0.28871670225694673</v>
      </c>
      <c r="T65" s="176">
        <v>127560.85</v>
      </c>
      <c r="U65" s="176">
        <v>117170.41</v>
      </c>
      <c r="V65" s="173">
        <f t="shared" si="39"/>
        <v>10390.440000000002</v>
      </c>
      <c r="W65" s="171">
        <f t="shared" si="43"/>
        <v>8.145477236942214E-2</v>
      </c>
      <c r="X65" s="47" t="s">
        <v>127</v>
      </c>
      <c r="Y65" s="47"/>
    </row>
    <row r="66" spans="1:34" x14ac:dyDescent="0.15">
      <c r="A66" s="37" t="s">
        <v>168</v>
      </c>
      <c r="B66" s="37" t="s">
        <v>182</v>
      </c>
      <c r="C66" s="37" t="s">
        <v>347</v>
      </c>
      <c r="D66" s="37" t="s">
        <v>10</v>
      </c>
      <c r="E66" s="38">
        <v>45627</v>
      </c>
      <c r="F66" s="38">
        <v>46022</v>
      </c>
      <c r="G66" s="155">
        <v>0.12706138</v>
      </c>
      <c r="H66" s="161">
        <v>551021.44999999995</v>
      </c>
      <c r="I66" s="161">
        <v>396332.97</v>
      </c>
      <c r="J66" s="45">
        <f t="shared" si="36"/>
        <v>154688.47999999998</v>
      </c>
      <c r="K66" s="46">
        <f t="shared" si="40"/>
        <v>0.2807304143967535</v>
      </c>
      <c r="L66" s="45">
        <v>547294.36</v>
      </c>
      <c r="M66" s="45">
        <v>365176.08</v>
      </c>
      <c r="N66" s="45">
        <f t="shared" si="37"/>
        <v>182118.27999999997</v>
      </c>
      <c r="O66" s="46">
        <f t="shared" si="41"/>
        <v>0.33276111231988575</v>
      </c>
      <c r="P66" s="169">
        <v>860467.71</v>
      </c>
      <c r="Q66" s="169">
        <v>694514.89</v>
      </c>
      <c r="R66" s="45">
        <f t="shared" si="38"/>
        <v>165952.81999999995</v>
      </c>
      <c r="S66" s="46">
        <f t="shared" si="42"/>
        <v>0.19286350675494837</v>
      </c>
      <c r="T66" s="176">
        <v>858832.83</v>
      </c>
      <c r="U66" s="176">
        <v>679632.2</v>
      </c>
      <c r="V66" s="173">
        <f t="shared" si="39"/>
        <v>179200.63</v>
      </c>
      <c r="W66" s="171">
        <f t="shared" si="43"/>
        <v>0.20865600817798269</v>
      </c>
      <c r="X66" s="47"/>
      <c r="Y66" s="32"/>
    </row>
    <row r="67" spans="1:34" x14ac:dyDescent="0.15">
      <c r="A67" s="37" t="s">
        <v>168</v>
      </c>
      <c r="B67" s="37" t="s">
        <v>184</v>
      </c>
      <c r="C67" s="37" t="s">
        <v>185</v>
      </c>
      <c r="D67" s="37" t="s">
        <v>8</v>
      </c>
      <c r="E67" s="38">
        <v>45658</v>
      </c>
      <c r="F67" s="38">
        <v>45838</v>
      </c>
      <c r="G67" s="155">
        <v>-5.8810679999999997E-2</v>
      </c>
      <c r="H67" s="161">
        <v>35605.089999999997</v>
      </c>
      <c r="I67" s="161">
        <v>34977.65</v>
      </c>
      <c r="J67" s="45">
        <f t="shared" si="36"/>
        <v>627.43999999999505</v>
      </c>
      <c r="K67" s="46">
        <f t="shared" si="40"/>
        <v>1.7622199522596211E-2</v>
      </c>
      <c r="L67" s="45">
        <v>0</v>
      </c>
      <c r="M67" s="45">
        <v>2551.04</v>
      </c>
      <c r="N67" s="45">
        <f t="shared" si="37"/>
        <v>-2551.04</v>
      </c>
      <c r="O67" s="46" t="e">
        <f t="shared" si="41"/>
        <v>#DIV/0!</v>
      </c>
      <c r="P67" s="169">
        <v>0</v>
      </c>
      <c r="Q67" s="169">
        <v>527.77</v>
      </c>
      <c r="R67" s="45">
        <f t="shared" si="38"/>
        <v>-527.77</v>
      </c>
      <c r="S67" s="46" t="e">
        <f t="shared" si="42"/>
        <v>#DIV/0!</v>
      </c>
      <c r="T67" s="176"/>
      <c r="U67" s="176"/>
      <c r="V67" s="173">
        <f t="shared" si="39"/>
        <v>0</v>
      </c>
      <c r="W67" s="171" t="e">
        <f t="shared" si="43"/>
        <v>#DIV/0!</v>
      </c>
      <c r="X67" s="47"/>
      <c r="Y67" s="32"/>
    </row>
    <row r="68" spans="1:34" x14ac:dyDescent="0.15">
      <c r="A68" s="37" t="s">
        <v>168</v>
      </c>
      <c r="B68" s="37" t="s">
        <v>186</v>
      </c>
      <c r="C68" s="37" t="s">
        <v>348</v>
      </c>
      <c r="D68" s="37" t="s">
        <v>10</v>
      </c>
      <c r="E68" s="38">
        <v>45627</v>
      </c>
      <c r="F68" s="38">
        <v>46022</v>
      </c>
      <c r="G68" s="155">
        <v>0.17389378999999999</v>
      </c>
      <c r="H68" s="161">
        <v>118232.76</v>
      </c>
      <c r="I68" s="161">
        <v>71618.570000000007</v>
      </c>
      <c r="J68" s="45">
        <f t="shared" si="36"/>
        <v>46614.189999999988</v>
      </c>
      <c r="K68" s="46">
        <f t="shared" si="40"/>
        <v>0.39425781822229294</v>
      </c>
      <c r="L68" s="45">
        <v>116087.91</v>
      </c>
      <c r="M68" s="45">
        <v>27126.57</v>
      </c>
      <c r="N68" s="45">
        <f t="shared" si="37"/>
        <v>88961.34</v>
      </c>
      <c r="O68" s="46">
        <f t="shared" si="41"/>
        <v>0.76632734623269549</v>
      </c>
      <c r="P68" s="169">
        <v>128080.99</v>
      </c>
      <c r="Q68" s="169">
        <v>65309.04</v>
      </c>
      <c r="R68" s="45">
        <f t="shared" si="38"/>
        <v>62771.950000000004</v>
      </c>
      <c r="S68" s="46">
        <f t="shared" si="42"/>
        <v>0.49009575894127616</v>
      </c>
      <c r="T68" s="176">
        <v>128080.98</v>
      </c>
      <c r="U68" s="176">
        <v>94143.26</v>
      </c>
      <c r="V68" s="173">
        <f t="shared" si="39"/>
        <v>33937.72</v>
      </c>
      <c r="W68" s="171">
        <f t="shared" si="43"/>
        <v>0.26497080206600543</v>
      </c>
      <c r="X68" s="47"/>
      <c r="Y68" s="32"/>
    </row>
    <row r="69" spans="1:34" x14ac:dyDescent="0.15">
      <c r="A69" s="37" t="s">
        <v>168</v>
      </c>
      <c r="B69" s="37" t="s">
        <v>188</v>
      </c>
      <c r="C69" s="37" t="s">
        <v>390</v>
      </c>
      <c r="D69" s="37" t="s">
        <v>10</v>
      </c>
      <c r="E69" s="38">
        <v>45609</v>
      </c>
      <c r="F69" s="38">
        <v>46022</v>
      </c>
      <c r="G69" s="155">
        <v>0.37813477000000001</v>
      </c>
      <c r="H69" s="161">
        <v>157872.18</v>
      </c>
      <c r="I69" s="161">
        <v>76922.91</v>
      </c>
      <c r="J69" s="45">
        <f t="shared" si="36"/>
        <v>80949.26999999999</v>
      </c>
      <c r="K69" s="46">
        <f t="shared" si="40"/>
        <v>0.51275196174525484</v>
      </c>
      <c r="L69" s="45">
        <v>209459.26</v>
      </c>
      <c r="M69" s="45">
        <v>101493.33</v>
      </c>
      <c r="N69" s="45">
        <f t="shared" si="37"/>
        <v>107965.93000000001</v>
      </c>
      <c r="O69" s="46">
        <f t="shared" si="41"/>
        <v>0.51545073729373436</v>
      </c>
      <c r="P69" s="169">
        <v>170955.81</v>
      </c>
      <c r="Q69" s="169">
        <v>106376.53</v>
      </c>
      <c r="R69" s="45">
        <f t="shared" si="38"/>
        <v>64579.28</v>
      </c>
      <c r="S69" s="46">
        <f t="shared" si="42"/>
        <v>0.37775422783232698</v>
      </c>
      <c r="T69" s="176">
        <v>51270.62</v>
      </c>
      <c r="U69" s="176">
        <v>42491.65</v>
      </c>
      <c r="V69" s="173">
        <f t="shared" si="39"/>
        <v>8778.9700000000012</v>
      </c>
      <c r="W69" s="171">
        <f t="shared" si="43"/>
        <v>0.17122808345208232</v>
      </c>
      <c r="X69" s="47"/>
      <c r="Y69" s="32"/>
    </row>
    <row r="70" spans="1:34" x14ac:dyDescent="0.15">
      <c r="A70" s="37" t="s">
        <v>168</v>
      </c>
      <c r="B70" s="37" t="s">
        <v>189</v>
      </c>
      <c r="C70" s="37" t="s">
        <v>349</v>
      </c>
      <c r="D70" s="37" t="s">
        <v>10</v>
      </c>
      <c r="E70" s="38">
        <v>45609</v>
      </c>
      <c r="F70" s="38">
        <v>46022</v>
      </c>
      <c r="G70" s="155">
        <v>9.3801040000000002E-2</v>
      </c>
      <c r="H70" s="161">
        <v>70488.149999999994</v>
      </c>
      <c r="I70" s="161">
        <v>37950.730000000003</v>
      </c>
      <c r="J70" s="45">
        <f t="shared" si="36"/>
        <v>32537.419999999991</v>
      </c>
      <c r="K70" s="46">
        <f t="shared" si="40"/>
        <v>0.4616012762428861</v>
      </c>
      <c r="L70" s="45">
        <v>74912.77</v>
      </c>
      <c r="M70" s="45">
        <v>79805.31</v>
      </c>
      <c r="N70" s="45">
        <f t="shared" si="37"/>
        <v>-4892.5399999999936</v>
      </c>
      <c r="O70" s="46">
        <f t="shared" si="41"/>
        <v>-6.5309826348698544E-2</v>
      </c>
      <c r="P70" s="169">
        <v>83335.75</v>
      </c>
      <c r="Q70" s="169">
        <v>54078.400000000001</v>
      </c>
      <c r="R70" s="45">
        <f t="shared" si="38"/>
        <v>29257.35</v>
      </c>
      <c r="S70" s="46">
        <f t="shared" si="42"/>
        <v>0.35107801873745659</v>
      </c>
      <c r="T70" s="176">
        <v>70365.899999999994</v>
      </c>
      <c r="U70" s="176">
        <v>55466.63</v>
      </c>
      <c r="V70" s="173">
        <f t="shared" si="39"/>
        <v>14899.269999999997</v>
      </c>
      <c r="W70" s="171">
        <f t="shared" si="43"/>
        <v>0.2117399194780426</v>
      </c>
      <c r="X70" s="47"/>
      <c r="Y70" s="32"/>
    </row>
    <row r="71" spans="1:34" x14ac:dyDescent="0.15">
      <c r="A71" s="37" t="s">
        <v>168</v>
      </c>
      <c r="B71" s="37" t="s">
        <v>191</v>
      </c>
      <c r="C71" s="37" t="s">
        <v>350</v>
      </c>
      <c r="D71" s="37" t="s">
        <v>10</v>
      </c>
      <c r="E71" s="38">
        <v>45658</v>
      </c>
      <c r="F71" s="38">
        <v>46022</v>
      </c>
      <c r="G71" s="155">
        <v>0.17892905000000001</v>
      </c>
      <c r="H71" s="161">
        <v>45658.77</v>
      </c>
      <c r="I71" s="161">
        <v>28765.39</v>
      </c>
      <c r="J71" s="45">
        <f t="shared" si="36"/>
        <v>16893.379999999997</v>
      </c>
      <c r="K71" s="46">
        <f t="shared" si="40"/>
        <v>0.36999200810709526</v>
      </c>
      <c r="L71" s="45">
        <v>45658.77</v>
      </c>
      <c r="M71" s="45">
        <v>30218.25</v>
      </c>
      <c r="N71" s="45">
        <f t="shared" si="37"/>
        <v>15440.519999999997</v>
      </c>
      <c r="O71" s="46">
        <f t="shared" si="41"/>
        <v>0.33817205325504823</v>
      </c>
      <c r="P71" s="169">
        <v>44275.18</v>
      </c>
      <c r="Q71" s="169">
        <v>29400.2</v>
      </c>
      <c r="R71" s="45">
        <f t="shared" si="38"/>
        <v>14874.98</v>
      </c>
      <c r="S71" s="46">
        <f t="shared" si="42"/>
        <v>0.33596656185248708</v>
      </c>
      <c r="T71" s="176">
        <v>47042.38</v>
      </c>
      <c r="U71" s="176">
        <v>25979.79</v>
      </c>
      <c r="V71" s="173">
        <f t="shared" si="39"/>
        <v>21062.589999999997</v>
      </c>
      <c r="W71" s="171">
        <f t="shared" si="43"/>
        <v>0.44773648782225722</v>
      </c>
      <c r="X71" s="47"/>
      <c r="Y71" s="32"/>
      <c r="AD71" s="50"/>
      <c r="AF71" s="50"/>
      <c r="AH71" s="50"/>
    </row>
    <row r="72" spans="1:34" x14ac:dyDescent="0.15">
      <c r="A72" s="37" t="s">
        <v>168</v>
      </c>
      <c r="B72" s="37" t="s">
        <v>193</v>
      </c>
      <c r="C72" s="37" t="s">
        <v>194</v>
      </c>
      <c r="D72" s="37" t="s">
        <v>10</v>
      </c>
      <c r="E72" s="38">
        <v>45658</v>
      </c>
      <c r="F72" s="38">
        <v>46022</v>
      </c>
      <c r="G72" s="155">
        <v>0.19217159</v>
      </c>
      <c r="H72" s="161">
        <v>18865.830000000002</v>
      </c>
      <c r="I72" s="161">
        <v>14807.61</v>
      </c>
      <c r="J72" s="45">
        <f t="shared" si="36"/>
        <v>4058.2200000000012</v>
      </c>
      <c r="K72" s="46">
        <f t="shared" si="40"/>
        <v>0.21510953930995885</v>
      </c>
      <c r="L72" s="45">
        <v>20189.75</v>
      </c>
      <c r="M72" s="45">
        <v>16340.03</v>
      </c>
      <c r="N72" s="45">
        <f t="shared" si="37"/>
        <v>3849.7199999999993</v>
      </c>
      <c r="O72" s="46">
        <f t="shared" si="41"/>
        <v>0.19067695241397239</v>
      </c>
      <c r="P72" s="169">
        <v>20520.72</v>
      </c>
      <c r="Q72" s="169">
        <v>16022.59</v>
      </c>
      <c r="R72" s="45">
        <f t="shared" si="38"/>
        <v>4498.130000000001</v>
      </c>
      <c r="S72" s="46">
        <f t="shared" si="42"/>
        <v>0.21919942380189392</v>
      </c>
      <c r="T72" s="176">
        <v>16585.990000000002</v>
      </c>
      <c r="U72" s="176">
        <v>11592.17</v>
      </c>
      <c r="V72" s="173">
        <f t="shared" si="39"/>
        <v>4993.8200000000015</v>
      </c>
      <c r="W72" s="171">
        <f t="shared" si="43"/>
        <v>0.30108663998953339</v>
      </c>
      <c r="X72" s="47"/>
      <c r="Y72" s="32"/>
      <c r="AD72" s="50"/>
      <c r="AF72" s="50"/>
      <c r="AH72" s="50"/>
    </row>
    <row r="73" spans="1:34" x14ac:dyDescent="0.15">
      <c r="A73" s="37" t="s">
        <v>168</v>
      </c>
      <c r="B73" s="37" t="s">
        <v>200</v>
      </c>
      <c r="C73" s="37" t="s">
        <v>201</v>
      </c>
      <c r="D73" s="37" t="s">
        <v>317</v>
      </c>
      <c r="E73" s="38">
        <v>45761</v>
      </c>
      <c r="F73" s="38">
        <v>45835</v>
      </c>
      <c r="G73" s="155">
        <v>0</v>
      </c>
      <c r="H73" s="161">
        <v>0</v>
      </c>
      <c r="I73" s="161">
        <v>0</v>
      </c>
      <c r="J73" s="45">
        <f t="shared" si="36"/>
        <v>0</v>
      </c>
      <c r="K73" s="46" t="e">
        <f t="shared" si="40"/>
        <v>#DIV/0!</v>
      </c>
      <c r="L73" s="45">
        <v>0</v>
      </c>
      <c r="M73" s="45">
        <v>-254.27</v>
      </c>
      <c r="N73" s="45">
        <f t="shared" si="37"/>
        <v>254.27</v>
      </c>
      <c r="O73" s="46" t="e">
        <f t="shared" si="41"/>
        <v>#DIV/0!</v>
      </c>
      <c r="P73" s="169">
        <v>0</v>
      </c>
      <c r="Q73" s="169">
        <v>225.22</v>
      </c>
      <c r="R73" s="45">
        <f t="shared" si="38"/>
        <v>-225.22</v>
      </c>
      <c r="S73" s="46" t="e">
        <f t="shared" si="42"/>
        <v>#DIV/0!</v>
      </c>
      <c r="T73" s="176"/>
      <c r="U73" s="176"/>
      <c r="V73" s="173">
        <f t="shared" si="39"/>
        <v>0</v>
      </c>
      <c r="W73" s="171" t="e">
        <f t="shared" si="43"/>
        <v>#DIV/0!</v>
      </c>
      <c r="X73" s="47"/>
      <c r="Y73" s="32"/>
      <c r="AD73" s="50"/>
      <c r="AF73" s="50"/>
      <c r="AH73" s="50"/>
    </row>
    <row r="74" spans="1:34" x14ac:dyDescent="0.15">
      <c r="A74" s="37" t="s">
        <v>168</v>
      </c>
      <c r="B74" s="37" t="s">
        <v>202</v>
      </c>
      <c r="C74" s="37" t="s">
        <v>203</v>
      </c>
      <c r="D74" s="37" t="s">
        <v>317</v>
      </c>
      <c r="E74" s="38">
        <v>45775</v>
      </c>
      <c r="F74" s="38">
        <v>45835</v>
      </c>
      <c r="G74" s="155">
        <v>0</v>
      </c>
      <c r="H74" s="161">
        <v>0</v>
      </c>
      <c r="I74" s="161">
        <v>0</v>
      </c>
      <c r="J74" s="45">
        <f t="shared" si="36"/>
        <v>0</v>
      </c>
      <c r="K74" s="46" t="e">
        <f t="shared" si="40"/>
        <v>#DIV/0!</v>
      </c>
      <c r="L74" s="45">
        <v>0</v>
      </c>
      <c r="M74" s="45">
        <v>-23.15</v>
      </c>
      <c r="N74" s="45">
        <f t="shared" si="37"/>
        <v>23.15</v>
      </c>
      <c r="O74" s="46" t="e">
        <f t="shared" si="41"/>
        <v>#DIV/0!</v>
      </c>
      <c r="P74" s="169">
        <v>0</v>
      </c>
      <c r="Q74" s="169">
        <v>95.1</v>
      </c>
      <c r="R74" s="45">
        <f t="shared" si="38"/>
        <v>-95.1</v>
      </c>
      <c r="S74" s="46" t="e">
        <f t="shared" si="42"/>
        <v>#DIV/0!</v>
      </c>
      <c r="T74" s="176"/>
      <c r="U74" s="176"/>
      <c r="V74" s="173">
        <f t="shared" si="39"/>
        <v>0</v>
      </c>
      <c r="W74" s="171" t="e">
        <f t="shared" si="43"/>
        <v>#DIV/0!</v>
      </c>
      <c r="X74" s="47"/>
      <c r="Y74" s="32"/>
      <c r="AD74" s="50"/>
      <c r="AF74" s="50"/>
      <c r="AH74" s="50"/>
    </row>
    <row r="75" spans="1:34" x14ac:dyDescent="0.15">
      <c r="A75" s="37" t="s">
        <v>168</v>
      </c>
      <c r="B75" s="37" t="s">
        <v>371</v>
      </c>
      <c r="C75" s="37" t="s">
        <v>372</v>
      </c>
      <c r="D75" s="37" t="s">
        <v>81</v>
      </c>
      <c r="E75" s="38">
        <v>45852</v>
      </c>
      <c r="F75" s="38">
        <v>45961</v>
      </c>
      <c r="G75" s="155">
        <v>0</v>
      </c>
      <c r="H75" s="161"/>
      <c r="I75" s="161"/>
      <c r="J75" s="45"/>
      <c r="K75" s="46"/>
      <c r="L75" s="153"/>
      <c r="M75" s="45"/>
      <c r="N75" s="45"/>
      <c r="O75" s="46"/>
      <c r="P75" s="200">
        <v>0</v>
      </c>
      <c r="Q75" s="169">
        <v>12523.65</v>
      </c>
      <c r="R75" s="45">
        <f t="shared" ref="R75:R77" si="44">P75-Q75</f>
        <v>-12523.65</v>
      </c>
      <c r="S75" s="46" t="e">
        <f t="shared" ref="S75:S77" si="45">R75/P75*100%</f>
        <v>#DIV/0!</v>
      </c>
      <c r="T75" s="199">
        <v>0</v>
      </c>
      <c r="U75" s="176">
        <v>10508.51</v>
      </c>
      <c r="V75" s="173">
        <f t="shared" si="39"/>
        <v>-10508.51</v>
      </c>
      <c r="W75" s="171" t="e">
        <f t="shared" si="43"/>
        <v>#DIV/0!</v>
      </c>
      <c r="X75" s="47"/>
      <c r="Y75" s="32"/>
      <c r="AD75" s="50"/>
      <c r="AF75" s="50"/>
      <c r="AH75" s="50"/>
    </row>
    <row r="76" spans="1:34" x14ac:dyDescent="0.15">
      <c r="A76" s="37" t="s">
        <v>168</v>
      </c>
      <c r="B76" s="37" t="s">
        <v>373</v>
      </c>
      <c r="C76" s="37" t="s">
        <v>391</v>
      </c>
      <c r="D76" s="37" t="s">
        <v>10</v>
      </c>
      <c r="E76" s="38">
        <v>45887</v>
      </c>
      <c r="F76" s="38">
        <v>46022</v>
      </c>
      <c r="G76" s="155">
        <v>0.44335590000000002</v>
      </c>
      <c r="H76" s="161"/>
      <c r="I76" s="161"/>
      <c r="J76" s="45"/>
      <c r="K76" s="46"/>
      <c r="L76" s="153"/>
      <c r="M76" s="45"/>
      <c r="N76" s="45"/>
      <c r="O76" s="46"/>
      <c r="P76" s="200">
        <v>0</v>
      </c>
      <c r="Q76" s="169">
        <v>3429.2</v>
      </c>
      <c r="R76" s="45">
        <f t="shared" si="44"/>
        <v>-3429.2</v>
      </c>
      <c r="S76" s="46" t="e">
        <f t="shared" si="45"/>
        <v>#DIV/0!</v>
      </c>
      <c r="T76" s="199">
        <v>56433.73</v>
      </c>
      <c r="U76" s="176">
        <v>20973.040000000001</v>
      </c>
      <c r="V76" s="173">
        <f t="shared" si="39"/>
        <v>35460.69</v>
      </c>
      <c r="W76" s="171">
        <f t="shared" si="43"/>
        <v>0.62835984791365018</v>
      </c>
      <c r="X76" s="47"/>
      <c r="Y76" s="32"/>
      <c r="AD76" s="50"/>
      <c r="AF76" s="50"/>
      <c r="AH76" s="50"/>
    </row>
    <row r="77" spans="1:34" x14ac:dyDescent="0.15">
      <c r="A77" s="37" t="s">
        <v>168</v>
      </c>
      <c r="B77" s="37" t="s">
        <v>374</v>
      </c>
      <c r="C77" s="37" t="s">
        <v>375</v>
      </c>
      <c r="D77" s="37" t="s">
        <v>10</v>
      </c>
      <c r="E77" s="38">
        <v>45839</v>
      </c>
      <c r="F77" s="38">
        <v>46022</v>
      </c>
      <c r="G77" s="155">
        <v>0.39030367999999999</v>
      </c>
      <c r="H77" s="161"/>
      <c r="I77" s="161"/>
      <c r="J77" s="45"/>
      <c r="K77" s="46"/>
      <c r="L77" s="153"/>
      <c r="M77" s="45"/>
      <c r="N77" s="45"/>
      <c r="O77" s="46"/>
      <c r="P77" s="200">
        <v>0</v>
      </c>
      <c r="Q77" s="169">
        <v>0</v>
      </c>
      <c r="R77" s="45">
        <f t="shared" si="44"/>
        <v>0</v>
      </c>
      <c r="S77" s="46" t="e">
        <f t="shared" si="45"/>
        <v>#DIV/0!</v>
      </c>
      <c r="T77" s="199">
        <v>70391</v>
      </c>
      <c r="U77" s="176">
        <v>45817.14</v>
      </c>
      <c r="V77" s="173">
        <f t="shared" si="39"/>
        <v>24573.86</v>
      </c>
      <c r="W77" s="171">
        <f t="shared" si="43"/>
        <v>0.34910514128226622</v>
      </c>
      <c r="X77" s="47" t="s">
        <v>127</v>
      </c>
      <c r="Y77" s="32"/>
      <c r="AD77" s="50"/>
      <c r="AF77" s="50"/>
      <c r="AH77" s="50"/>
    </row>
    <row r="78" spans="1:34" x14ac:dyDescent="0.15">
      <c r="A78" s="37" t="s">
        <v>168</v>
      </c>
      <c r="B78" s="37" t="s">
        <v>392</v>
      </c>
      <c r="C78" s="37" t="s">
        <v>393</v>
      </c>
      <c r="D78" s="37" t="s">
        <v>10</v>
      </c>
      <c r="E78" s="38">
        <v>45964</v>
      </c>
      <c r="F78" s="38">
        <v>46311</v>
      </c>
      <c r="G78" s="155">
        <v>0.34704715000000003</v>
      </c>
      <c r="H78" s="161"/>
      <c r="I78" s="161"/>
      <c r="J78" s="45"/>
      <c r="K78" s="46"/>
      <c r="L78" s="153"/>
      <c r="M78" s="45"/>
      <c r="N78" s="45"/>
      <c r="O78" s="46"/>
      <c r="P78" s="200"/>
      <c r="Q78" s="169"/>
      <c r="R78" s="45"/>
      <c r="S78" s="46"/>
      <c r="T78" s="199">
        <v>0</v>
      </c>
      <c r="U78" s="176">
        <v>10130.709999999999</v>
      </c>
      <c r="V78" s="173">
        <f t="shared" ref="V78" si="46">T78-U78</f>
        <v>-10130.709999999999</v>
      </c>
      <c r="W78" s="171" t="e">
        <f t="shared" ref="W78" si="47">V78/T78*100%</f>
        <v>#DIV/0!</v>
      </c>
      <c r="X78" s="47" t="s">
        <v>127</v>
      </c>
      <c r="Y78" s="32"/>
      <c r="AD78" s="50"/>
      <c r="AF78" s="50"/>
      <c r="AH78" s="50"/>
    </row>
    <row r="79" spans="1:34" x14ac:dyDescent="0.15">
      <c r="A79" s="254" t="s">
        <v>105</v>
      </c>
      <c r="B79" s="255"/>
      <c r="C79" s="255"/>
      <c r="D79" s="255"/>
      <c r="E79" s="255"/>
      <c r="F79" s="255"/>
      <c r="G79" s="157"/>
      <c r="H79" s="48">
        <f>SUM(H51:H77)</f>
        <v>1296443.53</v>
      </c>
      <c r="I79" s="48">
        <f>SUM(I51:I77)</f>
        <v>1063167.9700000002</v>
      </c>
      <c r="J79" s="48">
        <f>SUM(J51:J77)</f>
        <v>233275.55999999997</v>
      </c>
      <c r="K79" s="49">
        <f t="shared" si="40"/>
        <v>0.1799349949318656</v>
      </c>
      <c r="L79" s="156">
        <f>SUM(L51:L74)</f>
        <v>1395299.83</v>
      </c>
      <c r="M79" s="48">
        <f>SUM(M51:M74)</f>
        <v>1098224.3900000001</v>
      </c>
      <c r="N79" s="48">
        <f>SUM(N51:N74)</f>
        <v>297075.44</v>
      </c>
      <c r="O79" s="49">
        <f t="shared" si="41"/>
        <v>0.21291154317706754</v>
      </c>
      <c r="P79" s="156">
        <f>SUM(P51:P77)</f>
        <v>1889996.42</v>
      </c>
      <c r="Q79" s="48">
        <f>SUM(Q51:Q77)</f>
        <v>1574695.8299999998</v>
      </c>
      <c r="R79" s="48">
        <f>SUM(R51:R77)</f>
        <v>315300.59000000003</v>
      </c>
      <c r="S79" s="49">
        <f t="shared" si="42"/>
        <v>0.16682602499321139</v>
      </c>
      <c r="T79" s="175">
        <f>SUM(T51:T78)</f>
        <v>1883153.4999999998</v>
      </c>
      <c r="U79" s="174">
        <f>SUM(U51:U78)</f>
        <v>1601376.1299999997</v>
      </c>
      <c r="V79" s="174">
        <f>SUM(V51:V78)</f>
        <v>281777.36999999994</v>
      </c>
      <c r="W79" s="172">
        <f t="shared" si="43"/>
        <v>0.1496305903900027</v>
      </c>
      <c r="X79" s="47"/>
      <c r="Y79" s="32"/>
    </row>
    <row r="80" spans="1:34" x14ac:dyDescent="0.15">
      <c r="T80" s="41"/>
      <c r="U80" s="41"/>
      <c r="V80" s="41"/>
      <c r="W80" s="41"/>
    </row>
    <row r="81" spans="20:23" x14ac:dyDescent="0.15">
      <c r="T81" s="41"/>
      <c r="U81" s="41"/>
      <c r="V81" s="41"/>
      <c r="W81" s="41"/>
    </row>
  </sheetData>
  <autoFilter ref="A4:Y46" xr:uid="{528A82DA-F914-451C-BDB1-5D7030ABC6FF}"/>
  <mergeCells count="2">
    <mergeCell ref="A46:F46"/>
    <mergeCell ref="A79:F7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F3036-DCB2-42A0-884D-1A82A946ADE0}">
  <dimension ref="A1:P54"/>
  <sheetViews>
    <sheetView tabSelected="1" workbookViewId="0">
      <pane xSplit="8" ySplit="3" topLeftCell="I4" activePane="bottomRight" state="frozen"/>
      <selection pane="topRight" activeCell="I1" sqref="I1"/>
      <selection pane="bottomLeft" activeCell="A4" sqref="A4"/>
      <selection pane="bottomRight" activeCell="S25" sqref="S25"/>
    </sheetView>
  </sheetViews>
  <sheetFormatPr baseColWidth="10" defaultColWidth="9" defaultRowHeight="15" x14ac:dyDescent="0.2"/>
  <cols>
    <col min="1" max="1" width="13.796875" style="210" bestFit="1" customWidth="1"/>
    <col min="2" max="2" width="9" style="210"/>
    <col min="3" max="3" width="14" style="210" customWidth="1"/>
    <col min="4" max="4" width="33.19921875" style="210" bestFit="1" customWidth="1"/>
    <col min="5" max="5" width="16.3984375" style="210" bestFit="1" customWidth="1"/>
    <col min="6" max="7" width="12.59765625" style="210" bestFit="1" customWidth="1"/>
    <col min="8" max="8" width="9.3984375" style="210" bestFit="1" customWidth="1"/>
    <col min="9" max="10" width="17.59765625" style="210" bestFit="1" customWidth="1"/>
    <col min="11" max="11" width="16.19921875" style="210" bestFit="1" customWidth="1"/>
    <col min="12" max="12" width="16.19921875" style="206" bestFit="1" customWidth="1"/>
    <col min="13" max="14" width="17.59765625" style="210" bestFit="1" customWidth="1"/>
    <col min="15" max="15" width="16.19921875" style="210" bestFit="1" customWidth="1"/>
    <col min="16" max="16" width="16.19921875" style="206" bestFit="1" customWidth="1"/>
    <col min="17" max="16384" width="9" style="210"/>
  </cols>
  <sheetData>
    <row r="1" spans="1:16" x14ac:dyDescent="0.2">
      <c r="A1" s="206"/>
      <c r="B1" s="206"/>
      <c r="C1" s="206"/>
      <c r="D1" s="207" t="s">
        <v>405</v>
      </c>
      <c r="E1" s="206"/>
      <c r="F1" s="206"/>
      <c r="G1" s="206"/>
      <c r="H1" s="206"/>
      <c r="I1" s="208">
        <f>I2*1.55</f>
        <v>13797003.871000001</v>
      </c>
      <c r="J1" s="208">
        <f>J2*1.55</f>
        <v>10728778.328500001</v>
      </c>
      <c r="K1" s="208">
        <f>I1-J1</f>
        <v>3068225.5425000004</v>
      </c>
      <c r="L1" s="209">
        <f>K1/I1*100%</f>
        <v>0.22238346609071558</v>
      </c>
      <c r="M1" s="208">
        <f>M2*1.55</f>
        <v>13797003.871000001</v>
      </c>
      <c r="N1" s="208">
        <f>N2*1.55</f>
        <v>10728778.328500001</v>
      </c>
      <c r="O1" s="208">
        <f>M1-N1</f>
        <v>3068225.5425000004</v>
      </c>
      <c r="P1" s="209">
        <f>O1/M1*100%</f>
        <v>0.22238346609071558</v>
      </c>
    </row>
    <row r="2" spans="1:16" x14ac:dyDescent="0.2">
      <c r="A2" s="206"/>
      <c r="B2" s="206"/>
      <c r="C2" s="206"/>
      <c r="D2" s="206"/>
      <c r="E2" s="206"/>
      <c r="F2" s="206"/>
      <c r="G2" s="206"/>
      <c r="H2" s="206"/>
      <c r="I2" s="211">
        <f>SUBTOTAL(9,I4:I53)</f>
        <v>8901292.8200000003</v>
      </c>
      <c r="J2" s="211">
        <f>SUBTOTAL(9,J4:J53)</f>
        <v>6921792.4699999997</v>
      </c>
      <c r="K2" s="211">
        <f>I2-J2</f>
        <v>1979500.3500000006</v>
      </c>
      <c r="L2" s="209">
        <f>K2/I2*100%</f>
        <v>0.22238346609071563</v>
      </c>
      <c r="M2" s="211">
        <f>SUBTOTAL(9,M4:M53)</f>
        <v>8901292.8200000003</v>
      </c>
      <c r="N2" s="211">
        <f>SUBTOTAL(9,N4:N53)</f>
        <v>6921792.4699999997</v>
      </c>
      <c r="O2" s="211">
        <f>M2-N2</f>
        <v>1979500.3500000006</v>
      </c>
      <c r="P2" s="209">
        <f>O2/M2*100%</f>
        <v>0.22238346609071563</v>
      </c>
    </row>
    <row r="3" spans="1:16" ht="48" x14ac:dyDescent="0.2">
      <c r="A3" s="212" t="s">
        <v>5</v>
      </c>
      <c r="B3" s="212" t="s">
        <v>406</v>
      </c>
      <c r="C3" s="212" t="s">
        <v>0</v>
      </c>
      <c r="D3" s="212" t="s">
        <v>1</v>
      </c>
      <c r="E3" s="212" t="s">
        <v>4</v>
      </c>
      <c r="F3" s="212" t="s">
        <v>2</v>
      </c>
      <c r="G3" s="212" t="s">
        <v>3</v>
      </c>
      <c r="H3" s="213" t="s">
        <v>300</v>
      </c>
      <c r="I3" s="214" t="s">
        <v>399</v>
      </c>
      <c r="J3" s="214" t="s">
        <v>400</v>
      </c>
      <c r="K3" s="214" t="s">
        <v>401</v>
      </c>
      <c r="L3" s="214" t="s">
        <v>402</v>
      </c>
      <c r="M3" s="226" t="s">
        <v>519</v>
      </c>
      <c r="N3" s="226" t="s">
        <v>520</v>
      </c>
      <c r="O3" s="226" t="s">
        <v>521</v>
      </c>
      <c r="P3" s="226" t="s">
        <v>522</v>
      </c>
    </row>
    <row r="4" spans="1:16" x14ac:dyDescent="0.2">
      <c r="A4" s="206" t="s">
        <v>407</v>
      </c>
      <c r="B4" s="206" t="s">
        <v>408</v>
      </c>
      <c r="C4" s="206" t="s">
        <v>409</v>
      </c>
      <c r="D4" s="206" t="s">
        <v>410</v>
      </c>
      <c r="E4" s="206" t="s">
        <v>10</v>
      </c>
      <c r="F4" s="215">
        <v>46027</v>
      </c>
      <c r="G4" s="215">
        <v>46387</v>
      </c>
      <c r="H4" s="216">
        <v>7.5191530000000006E-2</v>
      </c>
      <c r="I4" s="217">
        <v>43241.37</v>
      </c>
      <c r="J4" s="218">
        <v>30322.6</v>
      </c>
      <c r="K4" s="218">
        <f t="shared" ref="K4:K29" si="0">I4-J4</f>
        <v>12918.770000000004</v>
      </c>
      <c r="L4" s="219">
        <f>K4/I4*100%</f>
        <v>0.29875949813801006</v>
      </c>
      <c r="M4" s="227">
        <v>43241.37</v>
      </c>
      <c r="N4" s="228">
        <v>30322.6</v>
      </c>
      <c r="O4" s="228">
        <f t="shared" ref="O4:O53" si="1">M4-N4</f>
        <v>12918.770000000004</v>
      </c>
      <c r="P4" s="229">
        <f>O4/M4*100%</f>
        <v>0.29875949813801006</v>
      </c>
    </row>
    <row r="5" spans="1:16" x14ac:dyDescent="0.2">
      <c r="A5" s="206" t="s">
        <v>407</v>
      </c>
      <c r="B5" s="206" t="s">
        <v>411</v>
      </c>
      <c r="C5" s="206" t="s">
        <v>412</v>
      </c>
      <c r="D5" s="206" t="s">
        <v>413</v>
      </c>
      <c r="E5" s="206" t="s">
        <v>10</v>
      </c>
      <c r="F5" s="215">
        <v>46097</v>
      </c>
      <c r="G5" s="215">
        <v>46203</v>
      </c>
      <c r="H5" s="216">
        <v>0.17590576999999999</v>
      </c>
      <c r="I5" s="220">
        <v>0</v>
      </c>
      <c r="J5" s="221">
        <v>10844.68</v>
      </c>
      <c r="K5" s="221">
        <f t="shared" si="0"/>
        <v>-10844.68</v>
      </c>
      <c r="L5" s="222" t="e">
        <f t="shared" ref="L5:L29" si="2">K5/I5*100%</f>
        <v>#DIV/0!</v>
      </c>
      <c r="M5" s="230">
        <v>0</v>
      </c>
      <c r="N5" s="231">
        <v>10844.68</v>
      </c>
      <c r="O5" s="231">
        <f t="shared" si="1"/>
        <v>-10844.68</v>
      </c>
      <c r="P5" s="232" t="e">
        <f t="shared" ref="P5:P53" si="3">O5/M5*100%</f>
        <v>#DIV/0!</v>
      </c>
    </row>
    <row r="6" spans="1:16" x14ac:dyDescent="0.2">
      <c r="A6" s="206" t="s">
        <v>414</v>
      </c>
      <c r="B6" s="206" t="s">
        <v>415</v>
      </c>
      <c r="C6" s="206" t="s">
        <v>416</v>
      </c>
      <c r="D6" s="206" t="s">
        <v>417</v>
      </c>
      <c r="E6" s="206" t="s">
        <v>10</v>
      </c>
      <c r="F6" s="215">
        <v>46023</v>
      </c>
      <c r="G6" s="215">
        <v>46112</v>
      </c>
      <c r="H6" s="216">
        <v>7.8289239999999996E-2</v>
      </c>
      <c r="I6" s="220">
        <v>18047.41</v>
      </c>
      <c r="J6" s="221">
        <v>14164.14</v>
      </c>
      <c r="K6" s="221">
        <f t="shared" si="0"/>
        <v>3883.2700000000004</v>
      </c>
      <c r="L6" s="222">
        <f t="shared" si="2"/>
        <v>0.21517048706711936</v>
      </c>
      <c r="M6" s="230">
        <v>18047.41</v>
      </c>
      <c r="N6" s="231">
        <v>14164.14</v>
      </c>
      <c r="O6" s="231">
        <f t="shared" si="1"/>
        <v>3883.2700000000004</v>
      </c>
      <c r="P6" s="232">
        <f t="shared" si="3"/>
        <v>0.21517048706711936</v>
      </c>
    </row>
    <row r="7" spans="1:16" x14ac:dyDescent="0.2">
      <c r="A7" s="206" t="s">
        <v>418</v>
      </c>
      <c r="B7" s="206" t="s">
        <v>419</v>
      </c>
      <c r="C7" s="206" t="s">
        <v>420</v>
      </c>
      <c r="D7" s="206" t="s">
        <v>421</v>
      </c>
      <c r="E7" s="206" t="s">
        <v>10</v>
      </c>
      <c r="F7" s="215">
        <v>46023</v>
      </c>
      <c r="G7" s="215">
        <v>47116</v>
      </c>
      <c r="H7" s="216">
        <v>0.16544249999999999</v>
      </c>
      <c r="I7" s="220">
        <v>1225645</v>
      </c>
      <c r="J7" s="221">
        <v>896290.12</v>
      </c>
      <c r="K7" s="221">
        <f t="shared" si="0"/>
        <v>329354.88</v>
      </c>
      <c r="L7" s="222">
        <f t="shared" si="2"/>
        <v>0.26871963741540167</v>
      </c>
      <c r="M7" s="230">
        <v>1225645</v>
      </c>
      <c r="N7" s="231">
        <v>896290.12</v>
      </c>
      <c r="O7" s="231">
        <f t="shared" si="1"/>
        <v>329354.88</v>
      </c>
      <c r="P7" s="232">
        <f t="shared" si="3"/>
        <v>0.26871963741540167</v>
      </c>
    </row>
    <row r="8" spans="1:16" x14ac:dyDescent="0.2">
      <c r="A8" s="206" t="s">
        <v>418</v>
      </c>
      <c r="B8" s="206" t="s">
        <v>422</v>
      </c>
      <c r="C8" s="206" t="s">
        <v>423</v>
      </c>
      <c r="D8" s="206" t="s">
        <v>9</v>
      </c>
      <c r="E8" s="206" t="s">
        <v>10</v>
      </c>
      <c r="F8" s="215">
        <v>46023</v>
      </c>
      <c r="G8" s="215">
        <v>47116</v>
      </c>
      <c r="H8" s="216">
        <v>0</v>
      </c>
      <c r="I8" s="220">
        <v>0</v>
      </c>
      <c r="J8" s="221">
        <v>17307.28</v>
      </c>
      <c r="K8" s="221">
        <f t="shared" si="0"/>
        <v>-17307.28</v>
      </c>
      <c r="L8" s="222" t="e">
        <f t="shared" si="2"/>
        <v>#DIV/0!</v>
      </c>
      <c r="M8" s="230">
        <v>0</v>
      </c>
      <c r="N8" s="231">
        <v>17307.28</v>
      </c>
      <c r="O8" s="231">
        <f t="shared" si="1"/>
        <v>-17307.28</v>
      </c>
      <c r="P8" s="232" t="e">
        <f t="shared" si="3"/>
        <v>#DIV/0!</v>
      </c>
    </row>
    <row r="9" spans="1:16" x14ac:dyDescent="0.2">
      <c r="A9" s="206" t="s">
        <v>13</v>
      </c>
      <c r="B9" s="206" t="s">
        <v>424</v>
      </c>
      <c r="C9" s="206" t="s">
        <v>425</v>
      </c>
      <c r="D9" s="206" t="s">
        <v>426</v>
      </c>
      <c r="E9" s="206" t="s">
        <v>81</v>
      </c>
      <c r="F9" s="215">
        <v>46024</v>
      </c>
      <c r="G9" s="215">
        <v>46080</v>
      </c>
      <c r="H9" s="216">
        <v>0</v>
      </c>
      <c r="I9" s="220">
        <v>0</v>
      </c>
      <c r="J9" s="221">
        <v>19612.939999999999</v>
      </c>
      <c r="K9" s="221">
        <f t="shared" si="0"/>
        <v>-19612.939999999999</v>
      </c>
      <c r="L9" s="222" t="e">
        <f t="shared" si="2"/>
        <v>#DIV/0!</v>
      </c>
      <c r="M9" s="230">
        <v>0</v>
      </c>
      <c r="N9" s="231">
        <v>19612.939999999999</v>
      </c>
      <c r="O9" s="231">
        <f t="shared" si="1"/>
        <v>-19612.939999999999</v>
      </c>
      <c r="P9" s="232" t="e">
        <f t="shared" si="3"/>
        <v>#DIV/0!</v>
      </c>
    </row>
    <row r="10" spans="1:16" x14ac:dyDescent="0.2">
      <c r="A10" s="206" t="s">
        <v>13</v>
      </c>
      <c r="B10" s="206" t="s">
        <v>427</v>
      </c>
      <c r="C10" s="206" t="s">
        <v>428</v>
      </c>
      <c r="D10" s="206" t="s">
        <v>429</v>
      </c>
      <c r="E10" s="206" t="s">
        <v>10</v>
      </c>
      <c r="F10" s="215">
        <v>46023</v>
      </c>
      <c r="G10" s="215">
        <v>46059</v>
      </c>
      <c r="H10" s="216">
        <v>0.16198652999999999</v>
      </c>
      <c r="I10" s="220">
        <v>21517.53</v>
      </c>
      <c r="J10" s="221">
        <v>18266.43</v>
      </c>
      <c r="K10" s="221">
        <f t="shared" si="0"/>
        <v>3251.0999999999985</v>
      </c>
      <c r="L10" s="222">
        <f t="shared" si="2"/>
        <v>0.15109076181141604</v>
      </c>
      <c r="M10" s="230">
        <v>21517.53</v>
      </c>
      <c r="N10" s="231">
        <v>18266.43</v>
      </c>
      <c r="O10" s="231">
        <f t="shared" si="1"/>
        <v>3251.0999999999985</v>
      </c>
      <c r="P10" s="232">
        <f t="shared" si="3"/>
        <v>0.15109076181141604</v>
      </c>
    </row>
    <row r="11" spans="1:16" x14ac:dyDescent="0.2">
      <c r="A11" s="206" t="s">
        <v>13</v>
      </c>
      <c r="B11" s="206" t="s">
        <v>14</v>
      </c>
      <c r="C11" s="206" t="s">
        <v>430</v>
      </c>
      <c r="D11" s="206" t="s">
        <v>9</v>
      </c>
      <c r="E11" s="206" t="s">
        <v>10</v>
      </c>
      <c r="F11" s="215">
        <v>44011</v>
      </c>
      <c r="G11" s="215">
        <v>46387</v>
      </c>
      <c r="H11" s="216">
        <v>0</v>
      </c>
      <c r="I11" s="220">
        <v>0</v>
      </c>
      <c r="J11" s="221">
        <v>140625.97</v>
      </c>
      <c r="K11" s="221">
        <f t="shared" si="0"/>
        <v>-140625.97</v>
      </c>
      <c r="L11" s="222" t="e">
        <f t="shared" si="2"/>
        <v>#DIV/0!</v>
      </c>
      <c r="M11" s="230">
        <v>0</v>
      </c>
      <c r="N11" s="231">
        <v>140625.97</v>
      </c>
      <c r="O11" s="231">
        <f t="shared" si="1"/>
        <v>-140625.97</v>
      </c>
      <c r="P11" s="232" t="e">
        <f t="shared" si="3"/>
        <v>#DIV/0!</v>
      </c>
    </row>
    <row r="12" spans="1:16" x14ac:dyDescent="0.2">
      <c r="A12" s="206" t="s">
        <v>13</v>
      </c>
      <c r="B12" s="206" t="s">
        <v>49</v>
      </c>
      <c r="C12" s="206" t="s">
        <v>431</v>
      </c>
      <c r="D12" s="206" t="s">
        <v>432</v>
      </c>
      <c r="E12" s="206" t="s">
        <v>433</v>
      </c>
      <c r="F12" s="215">
        <v>45245</v>
      </c>
      <c r="G12" s="215">
        <v>45869</v>
      </c>
      <c r="H12" s="216">
        <v>0.19586316000000001</v>
      </c>
      <c r="I12" s="220">
        <v>0</v>
      </c>
      <c r="J12" s="221">
        <v>100.73</v>
      </c>
      <c r="K12" s="221">
        <f t="shared" si="0"/>
        <v>-100.73</v>
      </c>
      <c r="L12" s="222" t="e">
        <f t="shared" si="2"/>
        <v>#DIV/0!</v>
      </c>
      <c r="M12" s="230">
        <v>0</v>
      </c>
      <c r="N12" s="231">
        <v>100.73</v>
      </c>
      <c r="O12" s="231">
        <f t="shared" si="1"/>
        <v>-100.73</v>
      </c>
      <c r="P12" s="232" t="e">
        <f t="shared" si="3"/>
        <v>#DIV/0!</v>
      </c>
    </row>
    <row r="13" spans="1:16" x14ac:dyDescent="0.2">
      <c r="A13" s="206" t="s">
        <v>13</v>
      </c>
      <c r="B13" s="206" t="s">
        <v>63</v>
      </c>
      <c r="C13" s="206" t="s">
        <v>434</v>
      </c>
      <c r="D13" s="206" t="s">
        <v>435</v>
      </c>
      <c r="E13" s="206" t="s">
        <v>10</v>
      </c>
      <c r="F13" s="215">
        <v>45257</v>
      </c>
      <c r="G13" s="215">
        <v>46171</v>
      </c>
      <c r="H13" s="216">
        <v>0.17846698</v>
      </c>
      <c r="I13" s="220">
        <v>210751</v>
      </c>
      <c r="J13" s="221">
        <v>121508.18</v>
      </c>
      <c r="K13" s="221">
        <f t="shared" si="0"/>
        <v>89242.82</v>
      </c>
      <c r="L13" s="222">
        <f t="shared" si="2"/>
        <v>0.42345146642246068</v>
      </c>
      <c r="M13" s="230">
        <v>210751</v>
      </c>
      <c r="N13" s="231">
        <v>121508.18</v>
      </c>
      <c r="O13" s="231">
        <f t="shared" si="1"/>
        <v>89242.82</v>
      </c>
      <c r="P13" s="232">
        <f t="shared" si="3"/>
        <v>0.42345146642246068</v>
      </c>
    </row>
    <row r="14" spans="1:16" x14ac:dyDescent="0.2">
      <c r="A14" s="206" t="s">
        <v>13</v>
      </c>
      <c r="B14" s="206" t="s">
        <v>67</v>
      </c>
      <c r="C14" s="206" t="s">
        <v>436</v>
      </c>
      <c r="D14" s="206" t="s">
        <v>437</v>
      </c>
      <c r="E14" s="206" t="s">
        <v>10</v>
      </c>
      <c r="F14" s="215">
        <v>45352</v>
      </c>
      <c r="G14" s="215">
        <v>46387</v>
      </c>
      <c r="H14" s="216">
        <v>0.25161156000000001</v>
      </c>
      <c r="I14" s="220">
        <v>207485</v>
      </c>
      <c r="J14" s="221">
        <v>30168.89</v>
      </c>
      <c r="K14" s="221">
        <f t="shared" si="0"/>
        <v>177316.11</v>
      </c>
      <c r="L14" s="222">
        <f t="shared" si="2"/>
        <v>0.85459724799383086</v>
      </c>
      <c r="M14" s="230">
        <v>207485</v>
      </c>
      <c r="N14" s="231">
        <v>30168.89</v>
      </c>
      <c r="O14" s="231">
        <f t="shared" si="1"/>
        <v>177316.11</v>
      </c>
      <c r="P14" s="232">
        <f t="shared" si="3"/>
        <v>0.85459724799383086</v>
      </c>
    </row>
    <row r="15" spans="1:16" x14ac:dyDescent="0.2">
      <c r="A15" s="206" t="s">
        <v>13</v>
      </c>
      <c r="B15" s="206" t="s">
        <v>73</v>
      </c>
      <c r="C15" s="206" t="s">
        <v>438</v>
      </c>
      <c r="D15" s="206" t="s">
        <v>439</v>
      </c>
      <c r="E15" s="206" t="s">
        <v>433</v>
      </c>
      <c r="F15" s="215">
        <v>45425</v>
      </c>
      <c r="G15" s="215">
        <v>45961</v>
      </c>
      <c r="H15" s="216">
        <v>0.12969251000000001</v>
      </c>
      <c r="I15" s="220">
        <v>0</v>
      </c>
      <c r="J15" s="221">
        <v>-485.32</v>
      </c>
      <c r="K15" s="221">
        <f t="shared" si="0"/>
        <v>485.32</v>
      </c>
      <c r="L15" s="222" t="e">
        <f t="shared" si="2"/>
        <v>#DIV/0!</v>
      </c>
      <c r="M15" s="230">
        <v>0</v>
      </c>
      <c r="N15" s="231">
        <v>-485.32</v>
      </c>
      <c r="O15" s="231">
        <f t="shared" si="1"/>
        <v>485.32</v>
      </c>
      <c r="P15" s="232" t="e">
        <f t="shared" si="3"/>
        <v>#DIV/0!</v>
      </c>
    </row>
    <row r="16" spans="1:16" x14ac:dyDescent="0.2">
      <c r="A16" s="206" t="s">
        <v>13</v>
      </c>
      <c r="B16" s="206" t="s">
        <v>88</v>
      </c>
      <c r="C16" s="206" t="s">
        <v>440</v>
      </c>
      <c r="D16" s="206" t="s">
        <v>441</v>
      </c>
      <c r="E16" s="206" t="s">
        <v>433</v>
      </c>
      <c r="F16" s="215">
        <v>45566</v>
      </c>
      <c r="G16" s="215">
        <v>46022</v>
      </c>
      <c r="H16" s="216">
        <v>0.11988838</v>
      </c>
      <c r="I16" s="220">
        <v>0</v>
      </c>
      <c r="J16" s="221">
        <v>4373.18</v>
      </c>
      <c r="K16" s="221">
        <f t="shared" si="0"/>
        <v>-4373.18</v>
      </c>
      <c r="L16" s="222" t="e">
        <f t="shared" si="2"/>
        <v>#DIV/0!</v>
      </c>
      <c r="M16" s="230">
        <v>0</v>
      </c>
      <c r="N16" s="231">
        <v>4373.18</v>
      </c>
      <c r="O16" s="231">
        <f t="shared" si="1"/>
        <v>-4373.18</v>
      </c>
      <c r="P16" s="232" t="e">
        <f t="shared" si="3"/>
        <v>#DIV/0!</v>
      </c>
    </row>
    <row r="17" spans="1:16" x14ac:dyDescent="0.2">
      <c r="A17" s="206" t="s">
        <v>13</v>
      </c>
      <c r="B17" s="206" t="s">
        <v>97</v>
      </c>
      <c r="C17" s="206" t="s">
        <v>442</v>
      </c>
      <c r="D17" s="206" t="s">
        <v>443</v>
      </c>
      <c r="E17" s="206" t="s">
        <v>433</v>
      </c>
      <c r="F17" s="215">
        <v>45628</v>
      </c>
      <c r="G17" s="215">
        <v>46022</v>
      </c>
      <c r="H17" s="216">
        <v>0.16405658000000001</v>
      </c>
      <c r="I17" s="220">
        <v>56121.120000000003</v>
      </c>
      <c r="J17" s="221">
        <v>629.94000000000005</v>
      </c>
      <c r="K17" s="221">
        <f t="shared" si="0"/>
        <v>55491.18</v>
      </c>
      <c r="L17" s="222">
        <f t="shared" si="2"/>
        <v>0.98877534874571282</v>
      </c>
      <c r="M17" s="230">
        <v>56121.120000000003</v>
      </c>
      <c r="N17" s="231">
        <v>629.94000000000005</v>
      </c>
      <c r="O17" s="231">
        <f t="shared" si="1"/>
        <v>55491.18</v>
      </c>
      <c r="P17" s="232">
        <f t="shared" si="3"/>
        <v>0.98877534874571282</v>
      </c>
    </row>
    <row r="18" spans="1:16" x14ac:dyDescent="0.2">
      <c r="A18" s="206" t="s">
        <v>13</v>
      </c>
      <c r="B18" s="206" t="s">
        <v>99</v>
      </c>
      <c r="C18" s="206" t="s">
        <v>444</v>
      </c>
      <c r="D18" s="206" t="s">
        <v>445</v>
      </c>
      <c r="E18" s="206" t="s">
        <v>433</v>
      </c>
      <c r="F18" s="215">
        <v>45670</v>
      </c>
      <c r="G18" s="215">
        <v>46022</v>
      </c>
      <c r="H18" s="216">
        <v>0.14441221000000001</v>
      </c>
      <c r="I18" s="220">
        <v>0.01</v>
      </c>
      <c r="J18" s="221">
        <v>0</v>
      </c>
      <c r="K18" s="221">
        <f t="shared" si="0"/>
        <v>0.01</v>
      </c>
      <c r="L18" s="222">
        <f t="shared" si="2"/>
        <v>1</v>
      </c>
      <c r="M18" s="230">
        <v>0.01</v>
      </c>
      <c r="N18" s="231">
        <v>0</v>
      </c>
      <c r="O18" s="231">
        <f t="shared" si="1"/>
        <v>0.01</v>
      </c>
      <c r="P18" s="232">
        <f t="shared" si="3"/>
        <v>1</v>
      </c>
    </row>
    <row r="19" spans="1:16" x14ac:dyDescent="0.2">
      <c r="A19" s="206" t="s">
        <v>13</v>
      </c>
      <c r="B19" s="206" t="s">
        <v>101</v>
      </c>
      <c r="C19" s="206" t="s">
        <v>446</v>
      </c>
      <c r="D19" s="206" t="s">
        <v>447</v>
      </c>
      <c r="E19" s="206" t="s">
        <v>433</v>
      </c>
      <c r="F19" s="215">
        <v>45658</v>
      </c>
      <c r="G19" s="215">
        <v>45996</v>
      </c>
      <c r="H19" s="216">
        <v>0.17179692999999999</v>
      </c>
      <c r="I19" s="220">
        <v>0</v>
      </c>
      <c r="J19" s="221">
        <v>28.29</v>
      </c>
      <c r="K19" s="221">
        <f t="shared" si="0"/>
        <v>-28.29</v>
      </c>
      <c r="L19" s="222" t="e">
        <f t="shared" si="2"/>
        <v>#DIV/0!</v>
      </c>
      <c r="M19" s="230">
        <v>0</v>
      </c>
      <c r="N19" s="231">
        <v>28.29</v>
      </c>
      <c r="O19" s="231">
        <f t="shared" si="1"/>
        <v>-28.29</v>
      </c>
      <c r="P19" s="232" t="e">
        <f t="shared" si="3"/>
        <v>#DIV/0!</v>
      </c>
    </row>
    <row r="20" spans="1:16" x14ac:dyDescent="0.2">
      <c r="A20" s="206" t="s">
        <v>13</v>
      </c>
      <c r="B20" s="206" t="s">
        <v>102</v>
      </c>
      <c r="C20" s="206" t="s">
        <v>448</v>
      </c>
      <c r="D20" s="206" t="s">
        <v>449</v>
      </c>
      <c r="E20" s="206" t="s">
        <v>433</v>
      </c>
      <c r="F20" s="215">
        <v>45659</v>
      </c>
      <c r="G20" s="215">
        <v>46022</v>
      </c>
      <c r="H20" s="216">
        <v>0.18863009999999999</v>
      </c>
      <c r="I20" s="220">
        <v>47768.85</v>
      </c>
      <c r="J20" s="221">
        <v>2064.52</v>
      </c>
      <c r="K20" s="221">
        <f t="shared" si="0"/>
        <v>45704.33</v>
      </c>
      <c r="L20" s="222">
        <f t="shared" si="2"/>
        <v>0.95678104036417044</v>
      </c>
      <c r="M20" s="230">
        <v>47768.85</v>
      </c>
      <c r="N20" s="231">
        <v>2064.52</v>
      </c>
      <c r="O20" s="231">
        <f t="shared" si="1"/>
        <v>45704.33</v>
      </c>
      <c r="P20" s="232">
        <f t="shared" si="3"/>
        <v>0.95678104036417044</v>
      </c>
    </row>
    <row r="21" spans="1:16" x14ac:dyDescent="0.2">
      <c r="A21" s="206" t="s">
        <v>13</v>
      </c>
      <c r="B21" s="206" t="s">
        <v>196</v>
      </c>
      <c r="C21" s="206" t="s">
        <v>450</v>
      </c>
      <c r="D21" s="206" t="s">
        <v>451</v>
      </c>
      <c r="E21" s="206" t="s">
        <v>433</v>
      </c>
      <c r="F21" s="215">
        <v>45748</v>
      </c>
      <c r="G21" s="215">
        <v>45991</v>
      </c>
      <c r="H21" s="216">
        <v>0.22161591</v>
      </c>
      <c r="I21" s="220">
        <v>0</v>
      </c>
      <c r="J21" s="221">
        <v>27996.959999999999</v>
      </c>
      <c r="K21" s="221">
        <f t="shared" si="0"/>
        <v>-27996.959999999999</v>
      </c>
      <c r="L21" s="222" t="e">
        <f t="shared" si="2"/>
        <v>#DIV/0!</v>
      </c>
      <c r="M21" s="230">
        <v>0</v>
      </c>
      <c r="N21" s="231">
        <v>27996.959999999999</v>
      </c>
      <c r="O21" s="231">
        <f t="shared" si="1"/>
        <v>-27996.959999999999</v>
      </c>
      <c r="P21" s="232" t="e">
        <f t="shared" si="3"/>
        <v>#DIV/0!</v>
      </c>
    </row>
    <row r="22" spans="1:16" x14ac:dyDescent="0.2">
      <c r="A22" s="206" t="s">
        <v>13</v>
      </c>
      <c r="B22" s="206" t="s">
        <v>325</v>
      </c>
      <c r="C22" s="206" t="s">
        <v>452</v>
      </c>
      <c r="D22" s="206" t="s">
        <v>453</v>
      </c>
      <c r="E22" s="206" t="s">
        <v>10</v>
      </c>
      <c r="F22" s="215">
        <v>45810</v>
      </c>
      <c r="G22" s="215">
        <v>46234</v>
      </c>
      <c r="H22" s="216">
        <v>0.31322591</v>
      </c>
      <c r="I22" s="220">
        <v>107554.26</v>
      </c>
      <c r="J22" s="221">
        <v>91151.55</v>
      </c>
      <c r="K22" s="221">
        <f t="shared" si="0"/>
        <v>16402.709999999992</v>
      </c>
      <c r="L22" s="222">
        <f t="shared" si="2"/>
        <v>0.15250637213254029</v>
      </c>
      <c r="M22" s="230">
        <v>107554.26</v>
      </c>
      <c r="N22" s="231">
        <v>91151.55</v>
      </c>
      <c r="O22" s="231">
        <f t="shared" si="1"/>
        <v>16402.709999999992</v>
      </c>
      <c r="P22" s="232">
        <f t="shared" si="3"/>
        <v>0.15250637213254029</v>
      </c>
    </row>
    <row r="23" spans="1:16" x14ac:dyDescent="0.2">
      <c r="A23" s="206" t="s">
        <v>13</v>
      </c>
      <c r="B23" s="206" t="s">
        <v>331</v>
      </c>
      <c r="C23" s="206" t="s">
        <v>454</v>
      </c>
      <c r="D23" s="206" t="s">
        <v>455</v>
      </c>
      <c r="E23" s="206" t="s">
        <v>10</v>
      </c>
      <c r="F23" s="215">
        <v>45824</v>
      </c>
      <c r="G23" s="215">
        <v>46080</v>
      </c>
      <c r="H23" s="216">
        <v>0.16844390000000001</v>
      </c>
      <c r="I23" s="220">
        <v>270476.44</v>
      </c>
      <c r="J23" s="221">
        <v>223554.55</v>
      </c>
      <c r="K23" s="221">
        <f t="shared" si="0"/>
        <v>46921.890000000014</v>
      </c>
      <c r="L23" s="222">
        <f t="shared" si="2"/>
        <v>0.1734786586218009</v>
      </c>
      <c r="M23" s="230">
        <v>270476.44</v>
      </c>
      <c r="N23" s="231">
        <v>223554.55</v>
      </c>
      <c r="O23" s="231">
        <f t="shared" si="1"/>
        <v>46921.890000000014</v>
      </c>
      <c r="P23" s="232">
        <f t="shared" si="3"/>
        <v>0.1734786586218009</v>
      </c>
    </row>
    <row r="24" spans="1:16" x14ac:dyDescent="0.2">
      <c r="A24" s="206" t="s">
        <v>13</v>
      </c>
      <c r="B24" s="206" t="s">
        <v>340</v>
      </c>
      <c r="C24" s="206" t="s">
        <v>456</v>
      </c>
      <c r="D24" s="206" t="s">
        <v>457</v>
      </c>
      <c r="E24" s="206" t="s">
        <v>10</v>
      </c>
      <c r="F24" s="215">
        <v>45839</v>
      </c>
      <c r="G24" s="215">
        <v>46387</v>
      </c>
      <c r="H24" s="216">
        <v>0.15378035000000001</v>
      </c>
      <c r="I24" s="220">
        <v>399788.05</v>
      </c>
      <c r="J24" s="221">
        <v>313508.21000000002</v>
      </c>
      <c r="K24" s="221">
        <f t="shared" si="0"/>
        <v>86279.839999999967</v>
      </c>
      <c r="L24" s="222">
        <f t="shared" si="2"/>
        <v>0.21581395441909773</v>
      </c>
      <c r="M24" s="230">
        <v>399788.05</v>
      </c>
      <c r="N24" s="231">
        <v>313508.21000000002</v>
      </c>
      <c r="O24" s="231">
        <f t="shared" si="1"/>
        <v>86279.839999999967</v>
      </c>
      <c r="P24" s="232">
        <f t="shared" si="3"/>
        <v>0.21581395441909773</v>
      </c>
    </row>
    <row r="25" spans="1:16" x14ac:dyDescent="0.2">
      <c r="A25" s="206" t="s">
        <v>13</v>
      </c>
      <c r="B25" s="206" t="s">
        <v>342</v>
      </c>
      <c r="C25" s="206" t="s">
        <v>458</v>
      </c>
      <c r="D25" s="206" t="s">
        <v>459</v>
      </c>
      <c r="E25" s="206" t="s">
        <v>10</v>
      </c>
      <c r="F25" s="215">
        <v>45810</v>
      </c>
      <c r="G25" s="215">
        <v>46220</v>
      </c>
      <c r="H25" s="216">
        <v>0.15917779000000001</v>
      </c>
      <c r="I25" s="220">
        <v>517818.62</v>
      </c>
      <c r="J25" s="221">
        <v>169132.76</v>
      </c>
      <c r="K25" s="221">
        <f t="shared" si="0"/>
        <v>348685.86</v>
      </c>
      <c r="L25" s="222">
        <f t="shared" si="2"/>
        <v>0.67337451094361955</v>
      </c>
      <c r="M25" s="230">
        <v>517818.62</v>
      </c>
      <c r="N25" s="231">
        <v>169132.76</v>
      </c>
      <c r="O25" s="231">
        <f t="shared" si="1"/>
        <v>348685.86</v>
      </c>
      <c r="P25" s="232">
        <f t="shared" si="3"/>
        <v>0.67337451094361955</v>
      </c>
    </row>
    <row r="26" spans="1:16" x14ac:dyDescent="0.2">
      <c r="A26" s="206" t="s">
        <v>13</v>
      </c>
      <c r="B26" s="206" t="s">
        <v>344</v>
      </c>
      <c r="C26" s="206" t="s">
        <v>460</v>
      </c>
      <c r="D26" s="206" t="s">
        <v>461</v>
      </c>
      <c r="E26" s="206" t="s">
        <v>433</v>
      </c>
      <c r="F26" s="215">
        <v>45824</v>
      </c>
      <c r="G26" s="215">
        <v>46022</v>
      </c>
      <c r="H26" s="216">
        <v>6.8510799999999997E-2</v>
      </c>
      <c r="I26" s="220">
        <v>53646.22</v>
      </c>
      <c r="J26" s="221">
        <v>2380.34</v>
      </c>
      <c r="K26" s="221">
        <f t="shared" si="0"/>
        <v>51265.880000000005</v>
      </c>
      <c r="L26" s="222">
        <f t="shared" si="2"/>
        <v>0.95562893340854216</v>
      </c>
      <c r="M26" s="230">
        <v>53646.22</v>
      </c>
      <c r="N26" s="231">
        <v>2380.34</v>
      </c>
      <c r="O26" s="231">
        <f t="shared" si="1"/>
        <v>51265.880000000005</v>
      </c>
      <c r="P26" s="232">
        <f t="shared" si="3"/>
        <v>0.95562893340854216</v>
      </c>
    </row>
    <row r="27" spans="1:16" x14ac:dyDescent="0.2">
      <c r="A27" s="206" t="s">
        <v>13</v>
      </c>
      <c r="B27" s="206" t="s">
        <v>363</v>
      </c>
      <c r="C27" s="206" t="s">
        <v>462</v>
      </c>
      <c r="D27" s="206" t="s">
        <v>463</v>
      </c>
      <c r="E27" s="206" t="s">
        <v>10</v>
      </c>
      <c r="F27" s="215">
        <v>45870</v>
      </c>
      <c r="G27" s="215">
        <v>46142</v>
      </c>
      <c r="H27" s="216">
        <v>0.17467768</v>
      </c>
      <c r="I27" s="220">
        <v>174314.85</v>
      </c>
      <c r="J27" s="221">
        <v>98573.41</v>
      </c>
      <c r="K27" s="221">
        <f t="shared" si="0"/>
        <v>75741.440000000002</v>
      </c>
      <c r="L27" s="222">
        <f t="shared" si="2"/>
        <v>0.43450939492533197</v>
      </c>
      <c r="M27" s="230">
        <v>174314.85</v>
      </c>
      <c r="N27" s="231">
        <v>98573.41</v>
      </c>
      <c r="O27" s="231">
        <f t="shared" si="1"/>
        <v>75741.440000000002</v>
      </c>
      <c r="P27" s="232">
        <f t="shared" si="3"/>
        <v>0.43450939492533197</v>
      </c>
    </row>
    <row r="28" spans="1:16" x14ac:dyDescent="0.2">
      <c r="A28" s="206" t="s">
        <v>13</v>
      </c>
      <c r="B28" s="206" t="s">
        <v>367</v>
      </c>
      <c r="C28" s="206" t="s">
        <v>464</v>
      </c>
      <c r="D28" s="206" t="s">
        <v>465</v>
      </c>
      <c r="E28" s="206" t="s">
        <v>10</v>
      </c>
      <c r="F28" s="215">
        <v>45887</v>
      </c>
      <c r="G28" s="215">
        <v>46374</v>
      </c>
      <c r="H28" s="216">
        <v>-0.24590597</v>
      </c>
      <c r="I28" s="220">
        <v>241438.85</v>
      </c>
      <c r="J28" s="221">
        <v>320190.26</v>
      </c>
      <c r="K28" s="221">
        <f t="shared" si="0"/>
        <v>-78751.41</v>
      </c>
      <c r="L28" s="222">
        <f t="shared" si="2"/>
        <v>-0.32617538561006237</v>
      </c>
      <c r="M28" s="230">
        <v>241438.85</v>
      </c>
      <c r="N28" s="231">
        <v>320190.26</v>
      </c>
      <c r="O28" s="231">
        <f t="shared" si="1"/>
        <v>-78751.41</v>
      </c>
      <c r="P28" s="232">
        <f t="shared" si="3"/>
        <v>-0.32617538561006237</v>
      </c>
    </row>
    <row r="29" spans="1:16" x14ac:dyDescent="0.2">
      <c r="A29" s="206" t="s">
        <v>13</v>
      </c>
      <c r="B29" s="206" t="s">
        <v>368</v>
      </c>
      <c r="C29" s="206" t="s">
        <v>466</v>
      </c>
      <c r="D29" s="206" t="s">
        <v>467</v>
      </c>
      <c r="E29" s="206" t="s">
        <v>10</v>
      </c>
      <c r="F29" s="215">
        <v>45887</v>
      </c>
      <c r="G29" s="215">
        <v>46203</v>
      </c>
      <c r="H29" s="216">
        <v>0.17253511999999999</v>
      </c>
      <c r="I29" s="220">
        <v>219215</v>
      </c>
      <c r="J29" s="221">
        <v>174624.21</v>
      </c>
      <c r="K29" s="221">
        <f t="shared" si="0"/>
        <v>44590.790000000008</v>
      </c>
      <c r="L29" s="222">
        <f t="shared" si="2"/>
        <v>0.20341121729808639</v>
      </c>
      <c r="M29" s="230">
        <v>219215</v>
      </c>
      <c r="N29" s="231">
        <v>174624.21</v>
      </c>
      <c r="O29" s="231">
        <f t="shared" si="1"/>
        <v>44590.790000000008</v>
      </c>
      <c r="P29" s="232">
        <f t="shared" si="3"/>
        <v>0.20341121729808639</v>
      </c>
    </row>
    <row r="30" spans="1:16" x14ac:dyDescent="0.2">
      <c r="A30" s="206" t="s">
        <v>13</v>
      </c>
      <c r="B30" s="206" t="s">
        <v>382</v>
      </c>
      <c r="C30" s="206" t="s">
        <v>468</v>
      </c>
      <c r="D30" s="206" t="s">
        <v>469</v>
      </c>
      <c r="E30" s="206" t="s">
        <v>10</v>
      </c>
      <c r="F30" s="215">
        <v>45931</v>
      </c>
      <c r="G30" s="215">
        <v>46142</v>
      </c>
      <c r="H30" s="216">
        <v>4.5674899999999997E-2</v>
      </c>
      <c r="I30" s="220">
        <v>295107.49</v>
      </c>
      <c r="J30" s="221">
        <v>279996.88</v>
      </c>
      <c r="K30" s="221">
        <f t="shared" ref="K30:K53" si="4">I30-J30</f>
        <v>15110.609999999986</v>
      </c>
      <c r="L30" s="222">
        <f t="shared" ref="L30:L53" si="5">K30/I30*100%</f>
        <v>5.1203749521911444E-2</v>
      </c>
      <c r="M30" s="230">
        <v>295107.49</v>
      </c>
      <c r="N30" s="231">
        <v>279996.88</v>
      </c>
      <c r="O30" s="231">
        <f t="shared" si="1"/>
        <v>15110.609999999986</v>
      </c>
      <c r="P30" s="232">
        <f t="shared" si="3"/>
        <v>5.1203749521911444E-2</v>
      </c>
    </row>
    <row r="31" spans="1:16" x14ac:dyDescent="0.2">
      <c r="A31" s="206" t="s">
        <v>13</v>
      </c>
      <c r="B31" s="206" t="s">
        <v>384</v>
      </c>
      <c r="C31" s="206" t="s">
        <v>470</v>
      </c>
      <c r="D31" s="206" t="s">
        <v>471</v>
      </c>
      <c r="E31" s="206" t="s">
        <v>433</v>
      </c>
      <c r="F31" s="215">
        <v>45931</v>
      </c>
      <c r="G31" s="215">
        <v>46022</v>
      </c>
      <c r="H31" s="216">
        <v>0.18145312999999999</v>
      </c>
      <c r="I31" s="220">
        <v>19237.59</v>
      </c>
      <c r="J31" s="221">
        <v>0</v>
      </c>
      <c r="K31" s="221">
        <f t="shared" si="4"/>
        <v>19237.59</v>
      </c>
      <c r="L31" s="222">
        <f t="shared" si="5"/>
        <v>1</v>
      </c>
      <c r="M31" s="230">
        <v>19237.59</v>
      </c>
      <c r="N31" s="231">
        <v>0</v>
      </c>
      <c r="O31" s="231">
        <f t="shared" si="1"/>
        <v>19237.59</v>
      </c>
      <c r="P31" s="232">
        <f t="shared" si="3"/>
        <v>1</v>
      </c>
    </row>
    <row r="32" spans="1:16" x14ac:dyDescent="0.2">
      <c r="A32" s="206" t="s">
        <v>13</v>
      </c>
      <c r="B32" s="206" t="s">
        <v>395</v>
      </c>
      <c r="C32" s="206" t="s">
        <v>472</v>
      </c>
      <c r="D32" s="206" t="s">
        <v>473</v>
      </c>
      <c r="E32" s="206" t="s">
        <v>10</v>
      </c>
      <c r="F32" s="215">
        <v>45971</v>
      </c>
      <c r="G32" s="215">
        <v>46203</v>
      </c>
      <c r="H32" s="216">
        <v>0.16145124</v>
      </c>
      <c r="I32" s="220">
        <v>1059524.3899999999</v>
      </c>
      <c r="J32" s="221">
        <v>854881.26</v>
      </c>
      <c r="K32" s="221">
        <f t="shared" si="4"/>
        <v>204643.12999999989</v>
      </c>
      <c r="L32" s="222">
        <f t="shared" si="5"/>
        <v>0.19314621912573424</v>
      </c>
      <c r="M32" s="230">
        <v>1059524.3899999999</v>
      </c>
      <c r="N32" s="231">
        <v>854881.26</v>
      </c>
      <c r="O32" s="231">
        <f t="shared" si="1"/>
        <v>204643.12999999989</v>
      </c>
      <c r="P32" s="232">
        <f t="shared" si="3"/>
        <v>0.19314621912573424</v>
      </c>
    </row>
    <row r="33" spans="1:16" x14ac:dyDescent="0.2">
      <c r="A33" s="206" t="s">
        <v>13</v>
      </c>
      <c r="B33" s="206" t="s">
        <v>474</v>
      </c>
      <c r="C33" s="206" t="s">
        <v>475</v>
      </c>
      <c r="D33" s="206" t="s">
        <v>476</v>
      </c>
      <c r="E33" s="206" t="s">
        <v>10</v>
      </c>
      <c r="F33" s="215">
        <v>45978</v>
      </c>
      <c r="G33" s="215">
        <v>46241</v>
      </c>
      <c r="H33" s="216">
        <v>0</v>
      </c>
      <c r="I33" s="220">
        <v>0</v>
      </c>
      <c r="J33" s="221">
        <v>21573.88</v>
      </c>
      <c r="K33" s="221">
        <f t="shared" si="4"/>
        <v>-21573.88</v>
      </c>
      <c r="L33" s="222" t="e">
        <f t="shared" si="5"/>
        <v>#DIV/0!</v>
      </c>
      <c r="M33" s="230">
        <v>0</v>
      </c>
      <c r="N33" s="231">
        <v>21573.88</v>
      </c>
      <c r="O33" s="231">
        <f t="shared" si="1"/>
        <v>-21573.88</v>
      </c>
      <c r="P33" s="232" t="e">
        <f t="shared" si="3"/>
        <v>#DIV/0!</v>
      </c>
    </row>
    <row r="34" spans="1:16" x14ac:dyDescent="0.2">
      <c r="A34" s="206" t="s">
        <v>13</v>
      </c>
      <c r="B34" s="206" t="s">
        <v>477</v>
      </c>
      <c r="C34" s="206" t="s">
        <v>478</v>
      </c>
      <c r="D34" s="206" t="s">
        <v>479</v>
      </c>
      <c r="E34" s="206" t="s">
        <v>10</v>
      </c>
      <c r="F34" s="215">
        <v>45978</v>
      </c>
      <c r="G34" s="215">
        <v>46384</v>
      </c>
      <c r="H34" s="216">
        <v>0.16664629</v>
      </c>
      <c r="I34" s="220">
        <v>119362</v>
      </c>
      <c r="J34" s="221">
        <v>71293.279999999999</v>
      </c>
      <c r="K34" s="221">
        <f t="shared" si="4"/>
        <v>48068.72</v>
      </c>
      <c r="L34" s="222">
        <f t="shared" si="5"/>
        <v>0.40271376149863441</v>
      </c>
      <c r="M34" s="230">
        <v>119362</v>
      </c>
      <c r="N34" s="231">
        <v>71293.279999999999</v>
      </c>
      <c r="O34" s="231">
        <f t="shared" si="1"/>
        <v>48068.72</v>
      </c>
      <c r="P34" s="232">
        <f t="shared" si="3"/>
        <v>0.40271376149863441</v>
      </c>
    </row>
    <row r="35" spans="1:16" x14ac:dyDescent="0.2">
      <c r="A35" s="206" t="s">
        <v>13</v>
      </c>
      <c r="B35" s="206" t="s">
        <v>397</v>
      </c>
      <c r="C35" s="206" t="s">
        <v>480</v>
      </c>
      <c r="D35" s="206" t="s">
        <v>481</v>
      </c>
      <c r="E35" s="206" t="s">
        <v>10</v>
      </c>
      <c r="F35" s="215">
        <v>45978</v>
      </c>
      <c r="G35" s="215">
        <v>46080</v>
      </c>
      <c r="H35" s="216">
        <v>0.18669835000000001</v>
      </c>
      <c r="I35" s="220">
        <v>1912604.47</v>
      </c>
      <c r="J35" s="221">
        <v>1659102.72</v>
      </c>
      <c r="K35" s="221">
        <f t="shared" si="4"/>
        <v>253501.75</v>
      </c>
      <c r="L35" s="222">
        <f t="shared" si="5"/>
        <v>0.13254269451749215</v>
      </c>
      <c r="M35" s="230">
        <v>1912604.47</v>
      </c>
      <c r="N35" s="231">
        <v>1659102.72</v>
      </c>
      <c r="O35" s="231">
        <f t="shared" si="1"/>
        <v>253501.75</v>
      </c>
      <c r="P35" s="232">
        <f t="shared" si="3"/>
        <v>0.13254269451749215</v>
      </c>
    </row>
    <row r="36" spans="1:16" x14ac:dyDescent="0.2">
      <c r="A36" s="206" t="s">
        <v>13</v>
      </c>
      <c r="B36" s="206" t="s">
        <v>482</v>
      </c>
      <c r="C36" s="206" t="s">
        <v>483</v>
      </c>
      <c r="D36" s="206" t="s">
        <v>484</v>
      </c>
      <c r="E36" s="206" t="s">
        <v>10</v>
      </c>
      <c r="F36" s="215">
        <v>45981</v>
      </c>
      <c r="G36" s="215">
        <v>46325</v>
      </c>
      <c r="H36" s="216">
        <v>0.16644482999999999</v>
      </c>
      <c r="I36" s="220">
        <v>131428</v>
      </c>
      <c r="J36" s="221">
        <v>93977.32</v>
      </c>
      <c r="K36" s="221">
        <f t="shared" si="4"/>
        <v>37450.679999999993</v>
      </c>
      <c r="L36" s="222">
        <f t="shared" si="5"/>
        <v>0.28495206500897824</v>
      </c>
      <c r="M36" s="230">
        <v>131428</v>
      </c>
      <c r="N36" s="231">
        <v>93977.32</v>
      </c>
      <c r="O36" s="231">
        <f t="shared" si="1"/>
        <v>37450.679999999993</v>
      </c>
      <c r="P36" s="232">
        <f t="shared" si="3"/>
        <v>0.28495206500897824</v>
      </c>
    </row>
    <row r="37" spans="1:16" x14ac:dyDescent="0.2">
      <c r="A37" s="206" t="s">
        <v>13</v>
      </c>
      <c r="B37" s="206" t="s">
        <v>485</v>
      </c>
      <c r="C37" s="206" t="s">
        <v>486</v>
      </c>
      <c r="D37" s="206" t="s">
        <v>487</v>
      </c>
      <c r="E37" s="206" t="s">
        <v>10</v>
      </c>
      <c r="F37" s="215">
        <v>46024</v>
      </c>
      <c r="G37" s="215">
        <v>46387</v>
      </c>
      <c r="H37" s="216">
        <v>-0.20622584999999999</v>
      </c>
      <c r="I37" s="220">
        <v>107628</v>
      </c>
      <c r="J37" s="221">
        <v>46967.41</v>
      </c>
      <c r="K37" s="221">
        <f t="shared" si="4"/>
        <v>60660.59</v>
      </c>
      <c r="L37" s="222">
        <f t="shared" si="5"/>
        <v>0.56361346489761022</v>
      </c>
      <c r="M37" s="230">
        <v>107628</v>
      </c>
      <c r="N37" s="231">
        <v>46967.41</v>
      </c>
      <c r="O37" s="231">
        <f t="shared" si="1"/>
        <v>60660.59</v>
      </c>
      <c r="P37" s="232">
        <f t="shared" si="3"/>
        <v>0.56361346489761022</v>
      </c>
    </row>
    <row r="38" spans="1:16" x14ac:dyDescent="0.2">
      <c r="A38" s="206" t="s">
        <v>13</v>
      </c>
      <c r="B38" s="206" t="s">
        <v>488</v>
      </c>
      <c r="C38" s="206" t="s">
        <v>489</v>
      </c>
      <c r="D38" s="206" t="s">
        <v>490</v>
      </c>
      <c r="E38" s="206" t="s">
        <v>81</v>
      </c>
      <c r="F38" s="215">
        <v>46023</v>
      </c>
      <c r="G38" s="215">
        <v>46080</v>
      </c>
      <c r="H38" s="216">
        <v>0</v>
      </c>
      <c r="I38" s="220">
        <v>0</v>
      </c>
      <c r="J38" s="221">
        <v>558.99</v>
      </c>
      <c r="K38" s="221">
        <f t="shared" si="4"/>
        <v>-558.99</v>
      </c>
      <c r="L38" s="222" t="e">
        <f t="shared" si="5"/>
        <v>#DIV/0!</v>
      </c>
      <c r="M38" s="230">
        <v>0</v>
      </c>
      <c r="N38" s="231">
        <v>558.99</v>
      </c>
      <c r="O38" s="231">
        <f t="shared" si="1"/>
        <v>-558.99</v>
      </c>
      <c r="P38" s="232" t="e">
        <f t="shared" si="3"/>
        <v>#DIV/0!</v>
      </c>
    </row>
    <row r="39" spans="1:16" x14ac:dyDescent="0.2">
      <c r="A39" s="206" t="s">
        <v>13</v>
      </c>
      <c r="B39" s="206" t="s">
        <v>491</v>
      </c>
      <c r="C39" s="206" t="s">
        <v>492</v>
      </c>
      <c r="D39" s="206" t="s">
        <v>429</v>
      </c>
      <c r="E39" s="206" t="s">
        <v>81</v>
      </c>
      <c r="F39" s="215">
        <v>46023</v>
      </c>
      <c r="G39" s="215">
        <v>46112</v>
      </c>
      <c r="H39" s="216">
        <v>0</v>
      </c>
      <c r="I39" s="220">
        <v>0</v>
      </c>
      <c r="J39" s="221">
        <v>529.39</v>
      </c>
      <c r="K39" s="221">
        <f t="shared" si="4"/>
        <v>-529.39</v>
      </c>
      <c r="L39" s="222" t="e">
        <f t="shared" si="5"/>
        <v>#DIV/0!</v>
      </c>
      <c r="M39" s="230">
        <v>0</v>
      </c>
      <c r="N39" s="231">
        <v>529.39</v>
      </c>
      <c r="O39" s="231">
        <f t="shared" si="1"/>
        <v>-529.39</v>
      </c>
      <c r="P39" s="232" t="e">
        <f t="shared" si="3"/>
        <v>#DIV/0!</v>
      </c>
    </row>
    <row r="40" spans="1:16" x14ac:dyDescent="0.2">
      <c r="A40" s="206" t="s">
        <v>168</v>
      </c>
      <c r="B40" s="206" t="s">
        <v>169</v>
      </c>
      <c r="C40" s="206" t="s">
        <v>493</v>
      </c>
      <c r="D40" s="206" t="s">
        <v>170</v>
      </c>
      <c r="E40" s="206" t="s">
        <v>10</v>
      </c>
      <c r="F40" s="215">
        <v>44562</v>
      </c>
      <c r="G40" s="215">
        <v>46387</v>
      </c>
      <c r="H40" s="216">
        <v>0</v>
      </c>
      <c r="I40" s="220">
        <v>0</v>
      </c>
      <c r="J40" s="221">
        <v>62186.51</v>
      </c>
      <c r="K40" s="221">
        <f t="shared" si="4"/>
        <v>-62186.51</v>
      </c>
      <c r="L40" s="222" t="e">
        <f t="shared" si="5"/>
        <v>#DIV/0!</v>
      </c>
      <c r="M40" s="230">
        <v>0</v>
      </c>
      <c r="N40" s="231">
        <v>62186.51</v>
      </c>
      <c r="O40" s="231">
        <f t="shared" si="1"/>
        <v>-62186.51</v>
      </c>
      <c r="P40" s="232" t="e">
        <f t="shared" si="3"/>
        <v>#DIV/0!</v>
      </c>
    </row>
    <row r="41" spans="1:16" x14ac:dyDescent="0.2">
      <c r="A41" s="206" t="s">
        <v>168</v>
      </c>
      <c r="B41" s="206" t="s">
        <v>171</v>
      </c>
      <c r="C41" s="206" t="s">
        <v>494</v>
      </c>
      <c r="D41" s="206" t="s">
        <v>9</v>
      </c>
      <c r="E41" s="206" t="s">
        <v>10</v>
      </c>
      <c r="F41" s="215">
        <v>44562</v>
      </c>
      <c r="G41" s="215">
        <v>46387</v>
      </c>
      <c r="H41" s="216">
        <v>0</v>
      </c>
      <c r="I41" s="220">
        <v>0</v>
      </c>
      <c r="J41" s="221">
        <v>-18393.88</v>
      </c>
      <c r="K41" s="221">
        <f t="shared" si="4"/>
        <v>18393.88</v>
      </c>
      <c r="L41" s="222" t="e">
        <f t="shared" si="5"/>
        <v>#DIV/0!</v>
      </c>
      <c r="M41" s="230">
        <v>0</v>
      </c>
      <c r="N41" s="231">
        <v>-18393.88</v>
      </c>
      <c r="O41" s="231">
        <f t="shared" si="1"/>
        <v>18393.88</v>
      </c>
      <c r="P41" s="232" t="e">
        <f t="shared" si="3"/>
        <v>#DIV/0!</v>
      </c>
    </row>
    <row r="42" spans="1:16" x14ac:dyDescent="0.2">
      <c r="A42" s="206" t="s">
        <v>168</v>
      </c>
      <c r="B42" s="206" t="s">
        <v>178</v>
      </c>
      <c r="C42" s="206" t="s">
        <v>495</v>
      </c>
      <c r="D42" s="206" t="s">
        <v>496</v>
      </c>
      <c r="E42" s="206" t="s">
        <v>433</v>
      </c>
      <c r="F42" s="215">
        <v>45627</v>
      </c>
      <c r="G42" s="215">
        <v>46022</v>
      </c>
      <c r="H42" s="216">
        <v>0.23231964999999999</v>
      </c>
      <c r="I42" s="220">
        <v>17949.71</v>
      </c>
      <c r="J42" s="221">
        <v>850.01</v>
      </c>
      <c r="K42" s="221">
        <f t="shared" si="4"/>
        <v>17099.7</v>
      </c>
      <c r="L42" s="222">
        <f t="shared" si="5"/>
        <v>0.95264491738306645</v>
      </c>
      <c r="M42" s="230">
        <v>17949.71</v>
      </c>
      <c r="N42" s="231">
        <v>850.01</v>
      </c>
      <c r="O42" s="231">
        <f t="shared" si="1"/>
        <v>17099.7</v>
      </c>
      <c r="P42" s="232">
        <f t="shared" si="3"/>
        <v>0.95264491738306645</v>
      </c>
    </row>
    <row r="43" spans="1:16" x14ac:dyDescent="0.2">
      <c r="A43" s="206" t="s">
        <v>168</v>
      </c>
      <c r="B43" s="206" t="s">
        <v>180</v>
      </c>
      <c r="C43" s="206" t="s">
        <v>497</v>
      </c>
      <c r="D43" s="206" t="s">
        <v>498</v>
      </c>
      <c r="E43" s="206" t="s">
        <v>10</v>
      </c>
      <c r="F43" s="215">
        <v>45627</v>
      </c>
      <c r="G43" s="215">
        <v>46080</v>
      </c>
      <c r="H43" s="216">
        <v>9.2156890000000005E-2</v>
      </c>
      <c r="I43" s="220">
        <v>278075.61</v>
      </c>
      <c r="J43" s="221">
        <v>78473.64</v>
      </c>
      <c r="K43" s="221">
        <f t="shared" si="4"/>
        <v>199601.96999999997</v>
      </c>
      <c r="L43" s="222">
        <f t="shared" si="5"/>
        <v>0.7177974724212598</v>
      </c>
      <c r="M43" s="230">
        <v>278075.61</v>
      </c>
      <c r="N43" s="231">
        <v>78473.64</v>
      </c>
      <c r="O43" s="231">
        <f t="shared" si="1"/>
        <v>199601.96999999997</v>
      </c>
      <c r="P43" s="232">
        <f t="shared" si="3"/>
        <v>0.7177974724212598</v>
      </c>
    </row>
    <row r="44" spans="1:16" x14ac:dyDescent="0.2">
      <c r="A44" s="206" t="s">
        <v>168</v>
      </c>
      <c r="B44" s="206" t="s">
        <v>182</v>
      </c>
      <c r="C44" s="206" t="s">
        <v>499</v>
      </c>
      <c r="D44" s="206" t="s">
        <v>500</v>
      </c>
      <c r="E44" s="206" t="s">
        <v>10</v>
      </c>
      <c r="F44" s="215">
        <v>45627</v>
      </c>
      <c r="G44" s="215">
        <v>46203</v>
      </c>
      <c r="H44" s="216">
        <v>0.13949993999999999</v>
      </c>
      <c r="I44" s="220">
        <v>313223.28000000003</v>
      </c>
      <c r="J44" s="221">
        <v>539888.65</v>
      </c>
      <c r="K44" s="221">
        <f t="shared" si="4"/>
        <v>-226665.37</v>
      </c>
      <c r="L44" s="222">
        <f t="shared" si="5"/>
        <v>-0.72365428904262796</v>
      </c>
      <c r="M44" s="230">
        <v>313223.28000000003</v>
      </c>
      <c r="N44" s="231">
        <v>539888.65</v>
      </c>
      <c r="O44" s="231">
        <f t="shared" si="1"/>
        <v>-226665.37</v>
      </c>
      <c r="P44" s="232">
        <f t="shared" si="3"/>
        <v>-0.72365428904262796</v>
      </c>
    </row>
    <row r="45" spans="1:16" x14ac:dyDescent="0.2">
      <c r="A45" s="206" t="s">
        <v>168</v>
      </c>
      <c r="B45" s="206" t="s">
        <v>186</v>
      </c>
      <c r="C45" s="206" t="s">
        <v>501</v>
      </c>
      <c r="D45" s="206" t="s">
        <v>500</v>
      </c>
      <c r="E45" s="206" t="s">
        <v>10</v>
      </c>
      <c r="F45" s="215">
        <v>45627</v>
      </c>
      <c r="G45" s="215">
        <v>46203</v>
      </c>
      <c r="H45" s="216">
        <v>0.19082142999999999</v>
      </c>
      <c r="I45" s="220">
        <v>139406.89000000001</v>
      </c>
      <c r="J45" s="221">
        <v>157541.98000000001</v>
      </c>
      <c r="K45" s="221">
        <f t="shared" si="4"/>
        <v>-18135.089999999997</v>
      </c>
      <c r="L45" s="222">
        <f t="shared" si="5"/>
        <v>-0.13008747272103979</v>
      </c>
      <c r="M45" s="230">
        <v>139406.89000000001</v>
      </c>
      <c r="N45" s="231">
        <v>157541.98000000001</v>
      </c>
      <c r="O45" s="231">
        <f t="shared" si="1"/>
        <v>-18135.089999999997</v>
      </c>
      <c r="P45" s="232">
        <f t="shared" si="3"/>
        <v>-0.13008747272103979</v>
      </c>
    </row>
    <row r="46" spans="1:16" x14ac:dyDescent="0.2">
      <c r="A46" s="206" t="s">
        <v>168</v>
      </c>
      <c r="B46" s="206" t="s">
        <v>188</v>
      </c>
      <c r="C46" s="206" t="s">
        <v>502</v>
      </c>
      <c r="D46" s="206" t="s">
        <v>503</v>
      </c>
      <c r="E46" s="206" t="s">
        <v>433</v>
      </c>
      <c r="F46" s="215">
        <v>45609</v>
      </c>
      <c r="G46" s="215">
        <v>46022</v>
      </c>
      <c r="H46" s="216">
        <v>0.37813477000000001</v>
      </c>
      <c r="I46" s="220">
        <v>0.06</v>
      </c>
      <c r="J46" s="221">
        <v>2329.7199999999998</v>
      </c>
      <c r="K46" s="221">
        <f t="shared" si="4"/>
        <v>-2329.66</v>
      </c>
      <c r="L46" s="222">
        <f t="shared" si="5"/>
        <v>-38827.666666666664</v>
      </c>
      <c r="M46" s="230">
        <v>0.06</v>
      </c>
      <c r="N46" s="231">
        <v>2329.7199999999998</v>
      </c>
      <c r="O46" s="231">
        <f t="shared" si="1"/>
        <v>-2329.66</v>
      </c>
      <c r="P46" s="232">
        <f t="shared" si="3"/>
        <v>-38827.666666666664</v>
      </c>
    </row>
    <row r="47" spans="1:16" x14ac:dyDescent="0.2">
      <c r="A47" s="206" t="s">
        <v>168</v>
      </c>
      <c r="B47" s="206" t="s">
        <v>189</v>
      </c>
      <c r="C47" s="206" t="s">
        <v>504</v>
      </c>
      <c r="D47" s="206" t="s">
        <v>505</v>
      </c>
      <c r="E47" s="206" t="s">
        <v>433</v>
      </c>
      <c r="F47" s="215">
        <v>45609</v>
      </c>
      <c r="G47" s="215">
        <v>46022</v>
      </c>
      <c r="H47" s="216">
        <v>9.3801040000000002E-2</v>
      </c>
      <c r="I47" s="220">
        <v>0.01</v>
      </c>
      <c r="J47" s="221">
        <v>5980.53</v>
      </c>
      <c r="K47" s="221">
        <f t="shared" si="4"/>
        <v>-5980.5199999999995</v>
      </c>
      <c r="L47" s="222">
        <f t="shared" si="5"/>
        <v>-598051.99999999988</v>
      </c>
      <c r="M47" s="230">
        <v>0.01</v>
      </c>
      <c r="N47" s="231">
        <v>5980.53</v>
      </c>
      <c r="O47" s="231">
        <f t="shared" si="1"/>
        <v>-5980.5199999999995</v>
      </c>
      <c r="P47" s="232">
        <f t="shared" si="3"/>
        <v>-598051.99999999988</v>
      </c>
    </row>
    <row r="48" spans="1:16" x14ac:dyDescent="0.2">
      <c r="A48" s="206" t="s">
        <v>168</v>
      </c>
      <c r="B48" s="206" t="s">
        <v>191</v>
      </c>
      <c r="C48" s="206" t="s">
        <v>506</v>
      </c>
      <c r="D48" s="206" t="s">
        <v>507</v>
      </c>
      <c r="E48" s="206" t="s">
        <v>433</v>
      </c>
      <c r="F48" s="215">
        <v>45658</v>
      </c>
      <c r="G48" s="215">
        <v>46022</v>
      </c>
      <c r="H48" s="216">
        <v>0.17892905000000001</v>
      </c>
      <c r="I48" s="220">
        <v>0</v>
      </c>
      <c r="J48" s="221">
        <v>1788.54</v>
      </c>
      <c r="K48" s="221">
        <f t="shared" si="4"/>
        <v>-1788.54</v>
      </c>
      <c r="L48" s="222" t="e">
        <f t="shared" si="5"/>
        <v>#DIV/0!</v>
      </c>
      <c r="M48" s="230">
        <v>0</v>
      </c>
      <c r="N48" s="231">
        <v>1788.54</v>
      </c>
      <c r="O48" s="231">
        <f t="shared" si="1"/>
        <v>-1788.54</v>
      </c>
      <c r="P48" s="232" t="e">
        <f t="shared" si="3"/>
        <v>#DIV/0!</v>
      </c>
    </row>
    <row r="49" spans="1:16" x14ac:dyDescent="0.2">
      <c r="A49" s="206" t="s">
        <v>168</v>
      </c>
      <c r="B49" s="206" t="s">
        <v>374</v>
      </c>
      <c r="C49" s="206" t="s">
        <v>508</v>
      </c>
      <c r="D49" s="206" t="s">
        <v>509</v>
      </c>
      <c r="E49" s="206" t="s">
        <v>433</v>
      </c>
      <c r="F49" s="215">
        <v>45839</v>
      </c>
      <c r="G49" s="215">
        <v>46022</v>
      </c>
      <c r="H49" s="216">
        <v>0.39030367999999999</v>
      </c>
      <c r="I49" s="220">
        <v>37124.99</v>
      </c>
      <c r="J49" s="221">
        <v>-801.12</v>
      </c>
      <c r="K49" s="221">
        <f t="shared" si="4"/>
        <v>37926.11</v>
      </c>
      <c r="L49" s="222">
        <f t="shared" si="5"/>
        <v>1.021578995711514</v>
      </c>
      <c r="M49" s="230">
        <v>37124.99</v>
      </c>
      <c r="N49" s="231">
        <v>-801.12</v>
      </c>
      <c r="O49" s="231">
        <f t="shared" si="1"/>
        <v>37926.11</v>
      </c>
      <c r="P49" s="232">
        <f t="shared" si="3"/>
        <v>1.021578995711514</v>
      </c>
    </row>
    <row r="50" spans="1:16" x14ac:dyDescent="0.2">
      <c r="A50" s="206" t="s">
        <v>168</v>
      </c>
      <c r="B50" s="206" t="s">
        <v>392</v>
      </c>
      <c r="C50" s="206" t="s">
        <v>510</v>
      </c>
      <c r="D50" s="206" t="s">
        <v>511</v>
      </c>
      <c r="E50" s="206" t="s">
        <v>10</v>
      </c>
      <c r="F50" s="215">
        <v>45964</v>
      </c>
      <c r="G50" s="215">
        <v>46311</v>
      </c>
      <c r="H50" s="216">
        <v>0.34704715000000003</v>
      </c>
      <c r="I50" s="220">
        <v>346971.95</v>
      </c>
      <c r="J50" s="221">
        <v>143096.32000000001</v>
      </c>
      <c r="K50" s="221">
        <f t="shared" si="4"/>
        <v>203875.63</v>
      </c>
      <c r="L50" s="222">
        <f t="shared" si="5"/>
        <v>0.58758533650919043</v>
      </c>
      <c r="M50" s="230">
        <v>346971.95</v>
      </c>
      <c r="N50" s="231">
        <v>143096.32000000001</v>
      </c>
      <c r="O50" s="231">
        <f t="shared" si="1"/>
        <v>203875.63</v>
      </c>
      <c r="P50" s="232">
        <f t="shared" si="3"/>
        <v>0.58758533650919043</v>
      </c>
    </row>
    <row r="51" spans="1:16" x14ac:dyDescent="0.2">
      <c r="A51" s="206" t="s">
        <v>168</v>
      </c>
      <c r="B51" s="206" t="s">
        <v>403</v>
      </c>
      <c r="C51" s="206" t="s">
        <v>512</v>
      </c>
      <c r="D51" s="206" t="s">
        <v>513</v>
      </c>
      <c r="E51" s="206" t="s">
        <v>10</v>
      </c>
      <c r="F51" s="215">
        <v>46023</v>
      </c>
      <c r="G51" s="215">
        <v>46387</v>
      </c>
      <c r="H51" s="216">
        <v>0.18181833999999999</v>
      </c>
      <c r="I51" s="220">
        <v>47586.83</v>
      </c>
      <c r="J51" s="221">
        <v>33277.379999999997</v>
      </c>
      <c r="K51" s="221">
        <f t="shared" si="4"/>
        <v>14309.450000000004</v>
      </c>
      <c r="L51" s="222">
        <f t="shared" si="5"/>
        <v>0.30070189588169677</v>
      </c>
      <c r="M51" s="230">
        <v>47586.83</v>
      </c>
      <c r="N51" s="231">
        <v>33277.379999999997</v>
      </c>
      <c r="O51" s="231">
        <f t="shared" si="1"/>
        <v>14309.450000000004</v>
      </c>
      <c r="P51" s="232">
        <f t="shared" si="3"/>
        <v>0.30070189588169677</v>
      </c>
    </row>
    <row r="52" spans="1:16" x14ac:dyDescent="0.2">
      <c r="A52" s="206" t="s">
        <v>168</v>
      </c>
      <c r="B52" s="206" t="s">
        <v>514</v>
      </c>
      <c r="C52" s="206" t="s">
        <v>515</v>
      </c>
      <c r="D52" s="206" t="s">
        <v>516</v>
      </c>
      <c r="E52" s="206" t="s">
        <v>10</v>
      </c>
      <c r="F52" s="215">
        <v>46048</v>
      </c>
      <c r="G52" s="215">
        <v>46203</v>
      </c>
      <c r="H52" s="216">
        <v>0.12305618</v>
      </c>
      <c r="I52" s="220">
        <v>261231.97</v>
      </c>
      <c r="J52" s="221">
        <v>159851.23000000001</v>
      </c>
      <c r="K52" s="221">
        <f t="shared" si="4"/>
        <v>101380.73999999999</v>
      </c>
      <c r="L52" s="222">
        <f t="shared" si="5"/>
        <v>0.38808703237968917</v>
      </c>
      <c r="M52" s="230">
        <v>261231.97</v>
      </c>
      <c r="N52" s="231">
        <v>159851.23000000001</v>
      </c>
      <c r="O52" s="231">
        <f t="shared" si="1"/>
        <v>101380.73999999999</v>
      </c>
      <c r="P52" s="232">
        <f t="shared" si="3"/>
        <v>0.38808703237968917</v>
      </c>
    </row>
    <row r="53" spans="1:16" x14ac:dyDescent="0.2">
      <c r="A53" s="206" t="s">
        <v>168</v>
      </c>
      <c r="B53" s="206" t="s">
        <v>517</v>
      </c>
      <c r="C53" s="206" t="s">
        <v>518</v>
      </c>
      <c r="D53" s="206" t="s">
        <v>417</v>
      </c>
      <c r="E53" s="206" t="s">
        <v>81</v>
      </c>
      <c r="F53" s="215">
        <v>46023</v>
      </c>
      <c r="G53" s="215">
        <v>46052</v>
      </c>
      <c r="H53" s="216">
        <v>0</v>
      </c>
      <c r="I53" s="220">
        <v>0</v>
      </c>
      <c r="J53" s="221">
        <v>-92.99</v>
      </c>
      <c r="K53" s="221">
        <f t="shared" si="4"/>
        <v>92.99</v>
      </c>
      <c r="L53" s="222" t="e">
        <f t="shared" si="5"/>
        <v>#DIV/0!</v>
      </c>
      <c r="M53" s="230">
        <v>0</v>
      </c>
      <c r="N53" s="231">
        <v>-92.99</v>
      </c>
      <c r="O53" s="231">
        <f t="shared" si="1"/>
        <v>92.99</v>
      </c>
      <c r="P53" s="232" t="e">
        <f t="shared" si="3"/>
        <v>#DIV/0!</v>
      </c>
    </row>
    <row r="54" spans="1:16" x14ac:dyDescent="0.2">
      <c r="A54" s="256" t="s">
        <v>105</v>
      </c>
      <c r="B54" s="257"/>
      <c r="C54" s="257"/>
      <c r="D54" s="257"/>
      <c r="E54" s="257"/>
      <c r="F54" s="257"/>
      <c r="G54" s="257"/>
      <c r="H54" s="223"/>
      <c r="I54" s="224">
        <f>SUBTOTAL(9,I4:I53)</f>
        <v>8901292.8200000003</v>
      </c>
      <c r="J54" s="224">
        <f>SUBTOTAL(9,J4:J53)</f>
        <v>6921792.4699999997</v>
      </c>
      <c r="K54" s="224">
        <f>SUBTOTAL(9,K4:K53)</f>
        <v>1979500.3499999999</v>
      </c>
      <c r="L54" s="225">
        <f>K54/I54*100%</f>
        <v>0.22238346609071555</v>
      </c>
      <c r="M54" s="233">
        <f>SUBTOTAL(9,M4:M53)</f>
        <v>8901292.8200000003</v>
      </c>
      <c r="N54" s="233">
        <f>SUBTOTAL(9,N4:N53)</f>
        <v>6921792.4699999997</v>
      </c>
      <c r="O54" s="233">
        <f>SUBTOTAL(9,O4:O53)</f>
        <v>1979500.3499999999</v>
      </c>
      <c r="P54" s="234">
        <f>O54/M54*100%</f>
        <v>0.22238346609071555</v>
      </c>
    </row>
  </sheetData>
  <autoFilter ref="A3:L53" xr:uid="{E5CF3036-DCB2-42A0-884D-1A82A946ADE0}"/>
  <mergeCells count="1">
    <mergeCell ref="A54:G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B788-A852-4597-900A-D3A7A9438466}">
  <dimension ref="A1:M36"/>
  <sheetViews>
    <sheetView workbookViewId="0">
      <pane xSplit="7" ySplit="4" topLeftCell="H5" activePane="bottomRight" state="frozen"/>
      <selection pane="topRight" activeCell="H1" sqref="H1"/>
      <selection pane="bottomLeft" activeCell="A5" sqref="A5"/>
      <selection pane="bottomRight" activeCell="I2" sqref="I2"/>
    </sheetView>
  </sheetViews>
  <sheetFormatPr baseColWidth="10" defaultColWidth="9" defaultRowHeight="13" x14ac:dyDescent="0.15"/>
  <cols>
    <col min="8" max="9" width="14.59765625" bestFit="1" customWidth="1"/>
    <col min="10" max="10" width="13.59765625" bestFit="1" customWidth="1"/>
    <col min="11" max="11" width="6.796875" bestFit="1" customWidth="1"/>
  </cols>
  <sheetData>
    <row r="1" spans="1:13" ht="14" x14ac:dyDescent="0.2">
      <c r="A1" s="166"/>
      <c r="B1" s="166"/>
      <c r="C1" s="166" t="s">
        <v>320</v>
      </c>
      <c r="D1" s="166"/>
      <c r="E1" s="166"/>
      <c r="F1" s="166"/>
      <c r="G1" s="166"/>
      <c r="H1" s="167">
        <f>H2+H23</f>
        <v>6131612.0934999995</v>
      </c>
      <c r="I1" s="167">
        <f>I2+I23</f>
        <v>5382829.2430000007</v>
      </c>
      <c r="J1" s="167">
        <f>H1-I1</f>
        <v>748782.85049999878</v>
      </c>
      <c r="K1" s="52">
        <f>J1/H1*100%</f>
        <v>0.12211843134919911</v>
      </c>
      <c r="L1" s="168"/>
      <c r="M1" s="166"/>
    </row>
    <row r="2" spans="1:13" x14ac:dyDescent="0.15">
      <c r="A2" s="37"/>
      <c r="B2" s="37"/>
      <c r="C2" s="37"/>
      <c r="D2" s="37"/>
      <c r="E2" s="37"/>
      <c r="F2" s="37"/>
      <c r="G2" s="37"/>
      <c r="H2" s="162">
        <f>H3*1.55</f>
        <v>5551700.5029999996</v>
      </c>
      <c r="I2" s="162">
        <f t="shared" ref="I2" si="0">I3*1.55</f>
        <v>4930566.6315000011</v>
      </c>
      <c r="J2" s="162">
        <f>H2-I2</f>
        <v>621133.87149999849</v>
      </c>
      <c r="K2" s="163">
        <f>J2/H2*100%</f>
        <v>0.11188173266269558</v>
      </c>
      <c r="L2" s="41"/>
      <c r="M2" s="37"/>
    </row>
    <row r="3" spans="1:13" x14ac:dyDescent="0.15">
      <c r="A3" s="37"/>
      <c r="B3" s="37"/>
      <c r="C3" s="37"/>
      <c r="D3" s="37"/>
      <c r="E3" s="37"/>
      <c r="F3" s="37"/>
      <c r="G3" s="37"/>
      <c r="H3" s="164">
        <f>SUBTOTAL(9,H6:H20)</f>
        <v>3581742.26</v>
      </c>
      <c r="I3" s="164">
        <f>SUBTOTAL(9,I6:I20)</f>
        <v>3181010.7300000004</v>
      </c>
      <c r="J3" s="164">
        <f>H3-I3</f>
        <v>400731.52999999933</v>
      </c>
      <c r="K3" s="163">
        <f>J3/H3*100%</f>
        <v>0.11188173266269566</v>
      </c>
      <c r="L3" s="165"/>
      <c r="M3" s="71"/>
    </row>
    <row r="4" spans="1:13" ht="52" x14ac:dyDescent="0.15">
      <c r="A4" s="42" t="s">
        <v>5</v>
      </c>
      <c r="B4" s="42" t="s">
        <v>0</v>
      </c>
      <c r="C4" s="42" t="s">
        <v>1</v>
      </c>
      <c r="D4" s="42" t="s">
        <v>4</v>
      </c>
      <c r="E4" s="42" t="s">
        <v>2</v>
      </c>
      <c r="F4" s="42" t="s">
        <v>3</v>
      </c>
      <c r="G4" s="204" t="s">
        <v>323</v>
      </c>
      <c r="H4" s="205" t="s">
        <v>399</v>
      </c>
      <c r="I4" s="205" t="s">
        <v>400</v>
      </c>
      <c r="J4" s="205" t="s">
        <v>401</v>
      </c>
      <c r="K4" s="205" t="s">
        <v>402</v>
      </c>
      <c r="L4" s="44" t="s">
        <v>125</v>
      </c>
      <c r="M4" s="44" t="s">
        <v>128</v>
      </c>
    </row>
    <row r="5" spans="1:13" x14ac:dyDescent="0.15">
      <c r="A5" s="37" t="s">
        <v>13</v>
      </c>
      <c r="B5" s="37" t="s">
        <v>14</v>
      </c>
      <c r="C5" s="37" t="s">
        <v>9</v>
      </c>
      <c r="D5" s="37" t="s">
        <v>10</v>
      </c>
      <c r="E5" s="38">
        <v>44011</v>
      </c>
      <c r="F5" s="38">
        <v>46387</v>
      </c>
      <c r="G5" s="155">
        <v>0</v>
      </c>
      <c r="H5" s="76">
        <v>0</v>
      </c>
      <c r="I5" s="76">
        <v>0</v>
      </c>
      <c r="J5" s="74">
        <f>H5-I5</f>
        <v>0</v>
      </c>
      <c r="K5" s="73" t="e">
        <f>J5/H5*100%</f>
        <v>#DIV/0!</v>
      </c>
      <c r="L5" s="47"/>
      <c r="M5" s="32"/>
    </row>
    <row r="6" spans="1:13" x14ac:dyDescent="0.15">
      <c r="A6" s="37" t="s">
        <v>13</v>
      </c>
      <c r="B6" s="37" t="s">
        <v>63</v>
      </c>
      <c r="C6" s="37" t="s">
        <v>64</v>
      </c>
      <c r="D6" s="37" t="s">
        <v>10</v>
      </c>
      <c r="E6" s="38">
        <v>45257</v>
      </c>
      <c r="F6" s="38">
        <v>46022</v>
      </c>
      <c r="G6" s="155">
        <v>0.18929760000000001</v>
      </c>
      <c r="H6" s="76">
        <v>18427</v>
      </c>
      <c r="I6" s="76">
        <v>15304.72</v>
      </c>
      <c r="J6" s="74">
        <f t="shared" ref="J6:J20" si="1">H6-I6</f>
        <v>3122.2800000000007</v>
      </c>
      <c r="K6" s="73">
        <f t="shared" ref="K6:K21" si="2">J6/H6*100%</f>
        <v>0.16944049492592395</v>
      </c>
      <c r="L6" s="47"/>
      <c r="M6" s="32"/>
    </row>
    <row r="7" spans="1:13" x14ac:dyDescent="0.15">
      <c r="A7" s="37" t="s">
        <v>13</v>
      </c>
      <c r="B7" s="37" t="s">
        <v>88</v>
      </c>
      <c r="C7" s="37" t="s">
        <v>89</v>
      </c>
      <c r="D7" s="37" t="s">
        <v>10</v>
      </c>
      <c r="E7" s="38">
        <v>45566</v>
      </c>
      <c r="F7" s="38">
        <v>46022</v>
      </c>
      <c r="G7" s="155">
        <v>0.11988838</v>
      </c>
      <c r="H7" s="76">
        <v>0</v>
      </c>
      <c r="I7" s="76">
        <v>17637.259999999998</v>
      </c>
      <c r="J7" s="74">
        <f t="shared" si="1"/>
        <v>-17637.259999999998</v>
      </c>
      <c r="K7" s="73" t="e">
        <f t="shared" si="2"/>
        <v>#DIV/0!</v>
      </c>
      <c r="L7" s="47"/>
      <c r="M7" s="32"/>
    </row>
    <row r="8" spans="1:13" x14ac:dyDescent="0.15">
      <c r="A8" s="37" t="s">
        <v>13</v>
      </c>
      <c r="B8" s="37" t="s">
        <v>97</v>
      </c>
      <c r="C8" s="37" t="s">
        <v>332</v>
      </c>
      <c r="D8" s="37" t="s">
        <v>10</v>
      </c>
      <c r="E8" s="38">
        <v>45628</v>
      </c>
      <c r="F8" s="38">
        <v>46022</v>
      </c>
      <c r="G8" s="155">
        <v>0.16405658000000001</v>
      </c>
      <c r="H8" s="76">
        <v>3267</v>
      </c>
      <c r="I8" s="76">
        <v>2785.2</v>
      </c>
      <c r="J8" s="74">
        <f t="shared" si="1"/>
        <v>481.80000000000018</v>
      </c>
      <c r="K8" s="73">
        <f t="shared" si="2"/>
        <v>0.14747474747474754</v>
      </c>
      <c r="L8" s="47"/>
      <c r="M8" s="32"/>
    </row>
    <row r="9" spans="1:13" x14ac:dyDescent="0.15">
      <c r="A9" s="37" t="s">
        <v>13</v>
      </c>
      <c r="B9" s="37" t="s">
        <v>325</v>
      </c>
      <c r="C9" s="37" t="s">
        <v>326</v>
      </c>
      <c r="D9" s="37" t="s">
        <v>10</v>
      </c>
      <c r="E9" s="38">
        <v>45810</v>
      </c>
      <c r="F9" s="38">
        <v>46108</v>
      </c>
      <c r="G9" s="155">
        <v>0.31322591</v>
      </c>
      <c r="H9" s="76">
        <v>27056.26</v>
      </c>
      <c r="I9" s="76">
        <v>130584.25</v>
      </c>
      <c r="J9" s="74">
        <f t="shared" si="1"/>
        <v>-103527.99</v>
      </c>
      <c r="K9" s="73">
        <f t="shared" si="2"/>
        <v>-3.8263969225606203</v>
      </c>
      <c r="L9" s="47"/>
      <c r="M9" s="32"/>
    </row>
    <row r="10" spans="1:13" x14ac:dyDescent="0.15">
      <c r="A10" s="37" t="s">
        <v>13</v>
      </c>
      <c r="B10" s="37" t="s">
        <v>331</v>
      </c>
      <c r="C10" s="37" t="s">
        <v>346</v>
      </c>
      <c r="D10" s="37" t="s">
        <v>10</v>
      </c>
      <c r="E10" s="38">
        <v>45824</v>
      </c>
      <c r="F10" s="38">
        <v>46080</v>
      </c>
      <c r="G10" s="155">
        <v>0.16844390000000001</v>
      </c>
      <c r="H10" s="76">
        <v>141216</v>
      </c>
      <c r="I10" s="76">
        <v>120741.4</v>
      </c>
      <c r="J10" s="74">
        <f t="shared" si="1"/>
        <v>20474.600000000006</v>
      </c>
      <c r="K10" s="73">
        <f t="shared" si="2"/>
        <v>0.14498782007704514</v>
      </c>
      <c r="L10" s="47"/>
      <c r="M10" s="32"/>
    </row>
    <row r="11" spans="1:13" x14ac:dyDescent="0.15">
      <c r="A11" s="37" t="s">
        <v>13</v>
      </c>
      <c r="B11" s="37" t="s">
        <v>340</v>
      </c>
      <c r="C11" s="37" t="s">
        <v>341</v>
      </c>
      <c r="D11" s="37" t="s">
        <v>10</v>
      </c>
      <c r="E11" s="38">
        <v>45839</v>
      </c>
      <c r="F11" s="38">
        <v>46387</v>
      </c>
      <c r="G11" s="155">
        <v>0.15378035000000001</v>
      </c>
      <c r="H11" s="76">
        <v>373204</v>
      </c>
      <c r="I11" s="76">
        <v>325399.42</v>
      </c>
      <c r="J11" s="74">
        <f t="shared" si="1"/>
        <v>47804.580000000016</v>
      </c>
      <c r="K11" s="73">
        <f t="shared" si="2"/>
        <v>0.12809235699510191</v>
      </c>
      <c r="L11" s="47"/>
      <c r="M11" s="32"/>
    </row>
    <row r="12" spans="1:13" x14ac:dyDescent="0.15">
      <c r="A12" s="37" t="s">
        <v>13</v>
      </c>
      <c r="B12" s="37" t="s">
        <v>342</v>
      </c>
      <c r="C12" s="37" t="s">
        <v>343</v>
      </c>
      <c r="D12" s="37" t="s">
        <v>10</v>
      </c>
      <c r="E12" s="38">
        <v>45810</v>
      </c>
      <c r="F12" s="38">
        <v>46220</v>
      </c>
      <c r="G12" s="155">
        <v>0.15917779000000001</v>
      </c>
      <c r="H12" s="76">
        <v>211873</v>
      </c>
      <c r="I12" s="76">
        <v>185544.38</v>
      </c>
      <c r="J12" s="74">
        <f t="shared" si="1"/>
        <v>26328.619999999995</v>
      </c>
      <c r="K12" s="73">
        <f t="shared" si="2"/>
        <v>0.12426604616916735</v>
      </c>
      <c r="L12" s="47"/>
      <c r="M12" s="32"/>
    </row>
    <row r="13" spans="1:13" x14ac:dyDescent="0.15">
      <c r="A13" s="37" t="s">
        <v>13</v>
      </c>
      <c r="B13" s="37" t="s">
        <v>344</v>
      </c>
      <c r="C13" s="37" t="s">
        <v>362</v>
      </c>
      <c r="D13" s="37" t="s">
        <v>10</v>
      </c>
      <c r="E13" s="38">
        <v>45824</v>
      </c>
      <c r="F13" s="38">
        <v>46022</v>
      </c>
      <c r="G13" s="155">
        <v>6.8510799999999997E-2</v>
      </c>
      <c r="H13" s="76">
        <v>61027</v>
      </c>
      <c r="I13" s="76">
        <v>56710.86</v>
      </c>
      <c r="J13" s="74">
        <f t="shared" si="1"/>
        <v>4316.1399999999994</v>
      </c>
      <c r="K13" s="73">
        <f t="shared" si="2"/>
        <v>7.0725088895079224E-2</v>
      </c>
      <c r="L13" s="47"/>
      <c r="M13" s="32"/>
    </row>
    <row r="14" spans="1:13" x14ac:dyDescent="0.15">
      <c r="A14" s="37" t="s">
        <v>13</v>
      </c>
      <c r="B14" s="37" t="s">
        <v>363</v>
      </c>
      <c r="C14" s="37" t="s">
        <v>364</v>
      </c>
      <c r="D14" s="37" t="s">
        <v>10</v>
      </c>
      <c r="E14" s="38">
        <v>45870</v>
      </c>
      <c r="F14" s="38">
        <v>46053</v>
      </c>
      <c r="G14" s="155">
        <v>0.17433306000000001</v>
      </c>
      <c r="H14" s="76">
        <v>32379</v>
      </c>
      <c r="I14" s="76">
        <v>27380.52</v>
      </c>
      <c r="J14" s="74">
        <f t="shared" si="1"/>
        <v>4998.4799999999996</v>
      </c>
      <c r="K14" s="73">
        <f t="shared" si="2"/>
        <v>0.15437413138145092</v>
      </c>
      <c r="L14" s="47"/>
      <c r="M14" s="32"/>
    </row>
    <row r="15" spans="1:13" x14ac:dyDescent="0.15">
      <c r="A15" s="37" t="s">
        <v>13</v>
      </c>
      <c r="B15" s="37" t="s">
        <v>367</v>
      </c>
      <c r="C15" s="37" t="s">
        <v>385</v>
      </c>
      <c r="D15" s="37" t="s">
        <v>10</v>
      </c>
      <c r="E15" s="38">
        <v>45887</v>
      </c>
      <c r="F15" s="38">
        <v>46010</v>
      </c>
      <c r="G15" s="155">
        <v>3.9352890000000001E-2</v>
      </c>
      <c r="H15" s="76">
        <v>20894</v>
      </c>
      <c r="I15" s="76">
        <v>20176</v>
      </c>
      <c r="J15" s="74">
        <f t="shared" si="1"/>
        <v>718</v>
      </c>
      <c r="K15" s="73">
        <f t="shared" si="2"/>
        <v>3.4363932229348138E-2</v>
      </c>
      <c r="L15" s="47"/>
      <c r="M15" s="32"/>
    </row>
    <row r="16" spans="1:13" x14ac:dyDescent="0.15">
      <c r="A16" s="37" t="s">
        <v>13</v>
      </c>
      <c r="B16" s="37" t="s">
        <v>368</v>
      </c>
      <c r="C16" s="37" t="s">
        <v>386</v>
      </c>
      <c r="D16" s="37" t="s">
        <v>10</v>
      </c>
      <c r="E16" s="38">
        <v>45887</v>
      </c>
      <c r="F16" s="38">
        <v>46203</v>
      </c>
      <c r="G16" s="155">
        <v>0.17253511999999999</v>
      </c>
      <c r="H16" s="76">
        <v>116768</v>
      </c>
      <c r="I16" s="76">
        <v>100410.02</v>
      </c>
      <c r="J16" s="74">
        <f t="shared" si="1"/>
        <v>16357.979999999996</v>
      </c>
      <c r="K16" s="73">
        <f t="shared" si="2"/>
        <v>0.14008957933680458</v>
      </c>
      <c r="L16" s="47"/>
      <c r="M16" s="32"/>
    </row>
    <row r="17" spans="1:13" x14ac:dyDescent="0.15">
      <c r="A17" s="37" t="s">
        <v>13</v>
      </c>
      <c r="B17" s="37" t="s">
        <v>382</v>
      </c>
      <c r="C17" s="37" t="s">
        <v>383</v>
      </c>
      <c r="D17" s="37" t="s">
        <v>10</v>
      </c>
      <c r="E17" s="38">
        <v>45931</v>
      </c>
      <c r="F17" s="38">
        <v>46142</v>
      </c>
      <c r="G17" s="155">
        <v>4.5674899999999997E-2</v>
      </c>
      <c r="H17" s="76">
        <v>269049</v>
      </c>
      <c r="I17" s="76">
        <v>260426.8</v>
      </c>
      <c r="J17" s="74">
        <f t="shared" si="1"/>
        <v>8622.2000000000116</v>
      </c>
      <c r="K17" s="73">
        <f t="shared" si="2"/>
        <v>3.2046950555475066E-2</v>
      </c>
      <c r="L17" s="47"/>
      <c r="M17" s="32"/>
    </row>
    <row r="18" spans="1:13" x14ac:dyDescent="0.15">
      <c r="A18" s="37" t="s">
        <v>13</v>
      </c>
      <c r="B18" s="37" t="s">
        <v>384</v>
      </c>
      <c r="C18" s="37" t="s">
        <v>387</v>
      </c>
      <c r="D18" s="37" t="s">
        <v>10</v>
      </c>
      <c r="E18" s="38">
        <v>45931</v>
      </c>
      <c r="F18" s="38">
        <v>46022</v>
      </c>
      <c r="G18" s="155">
        <v>0.18145312999999999</v>
      </c>
      <c r="H18" s="76">
        <v>2078</v>
      </c>
      <c r="I18" s="76">
        <v>1754.08</v>
      </c>
      <c r="J18" s="74">
        <f t="shared" si="1"/>
        <v>323.92000000000007</v>
      </c>
      <c r="K18" s="73">
        <f t="shared" si="2"/>
        <v>0.15588065447545721</v>
      </c>
      <c r="L18" s="47"/>
      <c r="M18" s="32"/>
    </row>
    <row r="19" spans="1:13" x14ac:dyDescent="0.15">
      <c r="A19" s="37" t="s">
        <v>13</v>
      </c>
      <c r="B19" s="37" t="s">
        <v>395</v>
      </c>
      <c r="C19" s="37" t="s">
        <v>396</v>
      </c>
      <c r="D19" s="37" t="s">
        <v>10</v>
      </c>
      <c r="E19" s="38">
        <v>45971</v>
      </c>
      <c r="F19" s="38">
        <v>46203</v>
      </c>
      <c r="G19" s="155">
        <v>0.24075659999999999</v>
      </c>
      <c r="H19" s="76">
        <v>668002</v>
      </c>
      <c r="I19" s="76">
        <v>527366.74</v>
      </c>
      <c r="J19" s="74">
        <f t="shared" si="1"/>
        <v>140635.26</v>
      </c>
      <c r="K19" s="73">
        <f t="shared" si="2"/>
        <v>0.21053119601438319</v>
      </c>
      <c r="L19" s="47"/>
      <c r="M19" s="32"/>
    </row>
    <row r="20" spans="1:13" x14ac:dyDescent="0.15">
      <c r="A20" s="37" t="s">
        <v>13</v>
      </c>
      <c r="B20" s="37" t="s">
        <v>397</v>
      </c>
      <c r="C20" s="37" t="s">
        <v>398</v>
      </c>
      <c r="D20" s="37" t="s">
        <v>10</v>
      </c>
      <c r="E20" s="38">
        <v>45978</v>
      </c>
      <c r="F20" s="38">
        <v>46080</v>
      </c>
      <c r="G20" s="155">
        <v>0.18669835000000001</v>
      </c>
      <c r="H20" s="76">
        <v>1636502</v>
      </c>
      <c r="I20" s="76">
        <v>1388789.08</v>
      </c>
      <c r="J20" s="74">
        <f t="shared" si="1"/>
        <v>247712.91999999993</v>
      </c>
      <c r="K20" s="73">
        <f t="shared" si="2"/>
        <v>0.15136731883004109</v>
      </c>
      <c r="L20" s="47"/>
      <c r="M20" s="32"/>
    </row>
    <row r="21" spans="1:13" x14ac:dyDescent="0.15">
      <c r="A21" s="254" t="s">
        <v>105</v>
      </c>
      <c r="B21" s="255"/>
      <c r="C21" s="255"/>
      <c r="D21" s="255"/>
      <c r="E21" s="255"/>
      <c r="F21" s="255"/>
      <c r="G21" s="158"/>
      <c r="H21" s="202">
        <f>SUM(H5:H20)</f>
        <v>3581742.26</v>
      </c>
      <c r="I21" s="202">
        <f>SUM(I5:I20)</f>
        <v>3181010.7300000004</v>
      </c>
      <c r="J21" s="202">
        <f>SUM(J5:J20)</f>
        <v>400731.52999999997</v>
      </c>
      <c r="K21" s="203">
        <f t="shared" si="2"/>
        <v>0.11188173266269584</v>
      </c>
      <c r="L21" s="47"/>
      <c r="M21" s="32"/>
    </row>
    <row r="22" spans="1:13" x14ac:dyDescent="0.15">
      <c r="A22" s="37"/>
      <c r="B22" s="37"/>
      <c r="C22" s="37"/>
      <c r="D22" s="37"/>
      <c r="E22" s="37"/>
      <c r="F22" s="37"/>
      <c r="G22" s="37"/>
      <c r="H22" s="37"/>
      <c r="I22" s="37"/>
      <c r="J22" s="37"/>
      <c r="K22" s="37"/>
      <c r="L22" s="41"/>
      <c r="M22" s="37"/>
    </row>
    <row r="23" spans="1:13" x14ac:dyDescent="0.15">
      <c r="A23" s="37"/>
      <c r="B23" s="37"/>
      <c r="C23" s="37"/>
      <c r="D23" s="37"/>
      <c r="E23" s="37"/>
      <c r="F23" s="37"/>
      <c r="G23" s="37"/>
      <c r="H23" s="162">
        <f>H24*1.55</f>
        <v>579911.59050000005</v>
      </c>
      <c r="I23" s="162">
        <f t="shared" ref="I23" si="3">I24*1.55</f>
        <v>452262.61150000006</v>
      </c>
      <c r="J23" s="162">
        <f>H23-I23</f>
        <v>127648.97899999999</v>
      </c>
      <c r="K23" s="163">
        <f>J23/H23*100%</f>
        <v>0.22011799917628994</v>
      </c>
      <c r="L23" s="77"/>
      <c r="M23" s="37"/>
    </row>
    <row r="24" spans="1:13" x14ac:dyDescent="0.15">
      <c r="A24" s="37"/>
      <c r="B24" s="37"/>
      <c r="C24" s="37"/>
      <c r="D24" s="37"/>
      <c r="E24" s="37"/>
      <c r="F24" s="37"/>
      <c r="G24" s="37"/>
      <c r="H24" s="164">
        <f>SUBTOTAL(9,H28:H35)</f>
        <v>374136.51</v>
      </c>
      <c r="I24" s="164">
        <f>SUBTOTAL(9,I28:I35)</f>
        <v>291782.33</v>
      </c>
      <c r="J24" s="164">
        <f>H24-I24</f>
        <v>82354.179999999993</v>
      </c>
      <c r="K24" s="163">
        <f>J24/H24*100%</f>
        <v>0.22011799917628994</v>
      </c>
      <c r="L24" s="165"/>
      <c r="M24" s="37"/>
    </row>
    <row r="25" spans="1:13" ht="52" x14ac:dyDescent="0.15">
      <c r="A25" s="42" t="s">
        <v>5</v>
      </c>
      <c r="B25" s="42" t="s">
        <v>0</v>
      </c>
      <c r="C25" s="42" t="s">
        <v>1</v>
      </c>
      <c r="D25" s="42" t="s">
        <v>4</v>
      </c>
      <c r="E25" s="42" t="s">
        <v>2</v>
      </c>
      <c r="F25" s="42" t="s">
        <v>3</v>
      </c>
      <c r="G25" s="160" t="s">
        <v>300</v>
      </c>
      <c r="H25" s="72" t="s">
        <v>399</v>
      </c>
      <c r="I25" s="72" t="s">
        <v>400</v>
      </c>
      <c r="J25" s="72" t="s">
        <v>401</v>
      </c>
      <c r="K25" s="72" t="s">
        <v>402</v>
      </c>
      <c r="L25" s="44" t="s">
        <v>125</v>
      </c>
      <c r="M25" s="44" t="s">
        <v>128</v>
      </c>
    </row>
    <row r="26" spans="1:13" x14ac:dyDescent="0.15">
      <c r="A26" s="37" t="s">
        <v>168</v>
      </c>
      <c r="B26" s="37" t="s">
        <v>169</v>
      </c>
      <c r="C26" s="37" t="s">
        <v>170</v>
      </c>
      <c r="D26" s="37" t="s">
        <v>10</v>
      </c>
      <c r="E26" s="38">
        <v>44562</v>
      </c>
      <c r="F26" s="38">
        <v>46022</v>
      </c>
      <c r="G26" s="155"/>
      <c r="H26" s="74">
        <v>0</v>
      </c>
      <c r="I26" s="74">
        <v>0</v>
      </c>
      <c r="J26" s="74">
        <f t="shared" ref="J26:J35" si="4">H26-I26</f>
        <v>0</v>
      </c>
      <c r="K26" s="73" t="e">
        <f>J26/H26*100%</f>
        <v>#DIV/0!</v>
      </c>
      <c r="L26" s="47"/>
      <c r="M26" s="32"/>
    </row>
    <row r="27" spans="1:13" x14ac:dyDescent="0.15">
      <c r="A27" s="37" t="s">
        <v>168</v>
      </c>
      <c r="B27" s="37" t="s">
        <v>171</v>
      </c>
      <c r="C27" s="37" t="s">
        <v>9</v>
      </c>
      <c r="D27" s="37" t="s">
        <v>10</v>
      </c>
      <c r="E27" s="38">
        <v>44562</v>
      </c>
      <c r="F27" s="38">
        <v>46022</v>
      </c>
      <c r="G27" s="155"/>
      <c r="H27" s="74">
        <v>0</v>
      </c>
      <c r="I27" s="74">
        <v>0</v>
      </c>
      <c r="J27" s="74">
        <f t="shared" si="4"/>
        <v>0</v>
      </c>
      <c r="K27" s="73" t="e">
        <f t="shared" ref="K27:K36" si="5">J27/H27*100%</f>
        <v>#DIV/0!</v>
      </c>
      <c r="L27" s="47"/>
      <c r="M27" s="32"/>
    </row>
    <row r="28" spans="1:13" x14ac:dyDescent="0.15">
      <c r="A28" s="37" t="s">
        <v>168</v>
      </c>
      <c r="B28" s="37" t="s">
        <v>178</v>
      </c>
      <c r="C28" s="37" t="s">
        <v>389</v>
      </c>
      <c r="D28" s="37" t="s">
        <v>10</v>
      </c>
      <c r="E28" s="38">
        <v>45627</v>
      </c>
      <c r="F28" s="38">
        <v>46022</v>
      </c>
      <c r="G28" s="155">
        <v>0.23231964999999999</v>
      </c>
      <c r="H28" s="74">
        <v>17949.7</v>
      </c>
      <c r="I28" s="74">
        <v>0</v>
      </c>
      <c r="J28" s="74">
        <f t="shared" si="4"/>
        <v>17949.7</v>
      </c>
      <c r="K28" s="73">
        <f t="shared" si="5"/>
        <v>1</v>
      </c>
      <c r="L28" s="47"/>
      <c r="M28" s="32"/>
    </row>
    <row r="29" spans="1:13" x14ac:dyDescent="0.15">
      <c r="A29" s="37" t="s">
        <v>168</v>
      </c>
      <c r="B29" s="37" t="s">
        <v>180</v>
      </c>
      <c r="C29" s="37" t="s">
        <v>181</v>
      </c>
      <c r="D29" s="37" t="s">
        <v>10</v>
      </c>
      <c r="E29" s="38">
        <v>45627</v>
      </c>
      <c r="F29" s="38">
        <v>46080</v>
      </c>
      <c r="G29" s="155">
        <v>9.2156890000000005E-2</v>
      </c>
      <c r="H29" s="74">
        <v>80172</v>
      </c>
      <c r="I29" s="74">
        <v>74447.22</v>
      </c>
      <c r="J29" s="74">
        <f t="shared" si="4"/>
        <v>5724.7799999999988</v>
      </c>
      <c r="K29" s="73">
        <f t="shared" si="5"/>
        <v>7.1406226612782508E-2</v>
      </c>
      <c r="L29" s="47"/>
      <c r="M29" s="32"/>
    </row>
    <row r="30" spans="1:13" x14ac:dyDescent="0.15">
      <c r="A30" s="37" t="s">
        <v>168</v>
      </c>
      <c r="B30" s="37" t="s">
        <v>182</v>
      </c>
      <c r="C30" s="37" t="s">
        <v>347</v>
      </c>
      <c r="D30" s="37" t="s">
        <v>10</v>
      </c>
      <c r="E30" s="38">
        <v>45627</v>
      </c>
      <c r="F30" s="38">
        <v>46022</v>
      </c>
      <c r="G30" s="155">
        <v>0.12706138</v>
      </c>
      <c r="H30" s="74">
        <v>0</v>
      </c>
      <c r="I30" s="74">
        <v>34639.97</v>
      </c>
      <c r="J30" s="74">
        <f t="shared" si="4"/>
        <v>-34639.97</v>
      </c>
      <c r="K30" s="73" t="e">
        <f t="shared" si="5"/>
        <v>#DIV/0!</v>
      </c>
      <c r="L30" s="47"/>
      <c r="M30" s="32"/>
    </row>
    <row r="31" spans="1:13" x14ac:dyDescent="0.15">
      <c r="A31" s="37" t="s">
        <v>168</v>
      </c>
      <c r="B31" s="37" t="s">
        <v>191</v>
      </c>
      <c r="C31" s="37" t="s">
        <v>350</v>
      </c>
      <c r="D31" s="37" t="s">
        <v>10</v>
      </c>
      <c r="E31" s="38">
        <v>45658</v>
      </c>
      <c r="F31" s="38">
        <v>46022</v>
      </c>
      <c r="G31" s="155">
        <v>0.17892905000000001</v>
      </c>
      <c r="H31" s="74">
        <v>0</v>
      </c>
      <c r="I31" s="74">
        <v>1544.4</v>
      </c>
      <c r="J31" s="74">
        <f t="shared" si="4"/>
        <v>-1544.4</v>
      </c>
      <c r="K31" s="73" t="e">
        <f t="shared" si="5"/>
        <v>#DIV/0!</v>
      </c>
      <c r="L31" s="47"/>
      <c r="M31" s="32"/>
    </row>
    <row r="32" spans="1:13" x14ac:dyDescent="0.15">
      <c r="A32" s="37" t="s">
        <v>168</v>
      </c>
      <c r="B32" s="37" t="s">
        <v>373</v>
      </c>
      <c r="C32" s="37" t="s">
        <v>391</v>
      </c>
      <c r="D32" s="37" t="s">
        <v>10</v>
      </c>
      <c r="E32" s="38">
        <v>45887</v>
      </c>
      <c r="F32" s="38">
        <v>46022</v>
      </c>
      <c r="G32" s="155">
        <v>0.44335590000000002</v>
      </c>
      <c r="H32" s="74">
        <v>0</v>
      </c>
      <c r="I32" s="74">
        <v>341.46</v>
      </c>
      <c r="J32" s="74">
        <f t="shared" si="4"/>
        <v>-341.46</v>
      </c>
      <c r="K32" s="73" t="e">
        <f t="shared" si="5"/>
        <v>#DIV/0!</v>
      </c>
      <c r="L32" s="47"/>
      <c r="M32" s="32"/>
    </row>
    <row r="33" spans="1:13" x14ac:dyDescent="0.15">
      <c r="A33" s="37" t="s">
        <v>168</v>
      </c>
      <c r="B33" s="37" t="s">
        <v>374</v>
      </c>
      <c r="C33" s="37" t="s">
        <v>375</v>
      </c>
      <c r="D33" s="37" t="s">
        <v>10</v>
      </c>
      <c r="E33" s="38">
        <v>45839</v>
      </c>
      <c r="F33" s="38">
        <v>46022</v>
      </c>
      <c r="G33" s="155">
        <v>0.39030367999999999</v>
      </c>
      <c r="H33" s="74">
        <v>2177</v>
      </c>
      <c r="I33" s="74">
        <v>-1156</v>
      </c>
      <c r="J33" s="74">
        <f t="shared" si="4"/>
        <v>3333</v>
      </c>
      <c r="K33" s="73">
        <f t="shared" si="5"/>
        <v>1.5310059715204409</v>
      </c>
      <c r="L33" s="47"/>
      <c r="M33" s="32"/>
    </row>
    <row r="34" spans="1:13" x14ac:dyDescent="0.15">
      <c r="A34" s="37" t="s">
        <v>168</v>
      </c>
      <c r="B34" s="37" t="s">
        <v>392</v>
      </c>
      <c r="C34" s="37" t="s">
        <v>393</v>
      </c>
      <c r="D34" s="37" t="s">
        <v>10</v>
      </c>
      <c r="E34" s="38">
        <v>45964</v>
      </c>
      <c r="F34" s="38">
        <v>46311</v>
      </c>
      <c r="G34" s="155">
        <v>0.34704715000000003</v>
      </c>
      <c r="H34" s="74">
        <v>226251</v>
      </c>
      <c r="I34" s="74">
        <v>150562.48000000001</v>
      </c>
      <c r="J34" s="74">
        <f t="shared" si="4"/>
        <v>75688.51999999999</v>
      </c>
      <c r="K34" s="73">
        <f t="shared" si="5"/>
        <v>0.33453341642688866</v>
      </c>
      <c r="L34" s="47"/>
      <c r="M34" s="32"/>
    </row>
    <row r="35" spans="1:13" x14ac:dyDescent="0.15">
      <c r="A35" s="37" t="s">
        <v>168</v>
      </c>
      <c r="B35" s="37" t="s">
        <v>403</v>
      </c>
      <c r="C35" s="37" t="s">
        <v>404</v>
      </c>
      <c r="D35" s="37" t="s">
        <v>10</v>
      </c>
      <c r="E35" s="38">
        <v>46023</v>
      </c>
      <c r="F35" s="38">
        <v>46387</v>
      </c>
      <c r="G35" s="155">
        <v>0.18181833999999999</v>
      </c>
      <c r="H35" s="74">
        <v>47586.81</v>
      </c>
      <c r="I35" s="74">
        <v>31402.799999999999</v>
      </c>
      <c r="J35" s="74">
        <f t="shared" si="4"/>
        <v>16184.009999999998</v>
      </c>
      <c r="K35" s="73">
        <f t="shared" si="5"/>
        <v>0.34009445054207244</v>
      </c>
      <c r="L35" s="47"/>
      <c r="M35" s="32"/>
    </row>
    <row r="36" spans="1:13" x14ac:dyDescent="0.15">
      <c r="A36" s="254" t="s">
        <v>105</v>
      </c>
      <c r="B36" s="255"/>
      <c r="C36" s="255"/>
      <c r="D36" s="255"/>
      <c r="E36" s="255"/>
      <c r="F36" s="255"/>
      <c r="G36" s="157"/>
      <c r="H36" s="159">
        <f>SUM(H26:H35)</f>
        <v>374136.51</v>
      </c>
      <c r="I36" s="159">
        <f>SUM(I26:I35)</f>
        <v>291782.33</v>
      </c>
      <c r="J36" s="159">
        <f>SUM(J26:J35)</f>
        <v>82354.179999999978</v>
      </c>
      <c r="K36" s="75">
        <f t="shared" si="5"/>
        <v>0.22011799917628991</v>
      </c>
      <c r="L36" s="47"/>
      <c r="M36" s="32"/>
    </row>
  </sheetData>
  <mergeCells count="2">
    <mergeCell ref="A21:F21"/>
    <mergeCell ref="A36:F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3D4A8-0CC5-4711-8C52-CE805318F579}">
  <dimension ref="A1:Z33"/>
  <sheetViews>
    <sheetView zoomScale="93" zoomScaleNormal="93" workbookViewId="0">
      <pane xSplit="7" ySplit="3" topLeftCell="H4" activePane="bottomRight" state="frozen"/>
      <selection pane="topRight" activeCell="H1" sqref="H1"/>
      <selection pane="bottomLeft" activeCell="A4" sqref="A4"/>
      <selection pane="bottomRight" activeCell="C20" sqref="C20"/>
    </sheetView>
  </sheetViews>
  <sheetFormatPr baseColWidth="10" defaultColWidth="8.796875" defaultRowHeight="12" x14ac:dyDescent="0.15"/>
  <cols>
    <col min="1" max="1" width="6.3984375" style="57" customWidth="1"/>
    <col min="2" max="2" width="7.796875" style="57" bestFit="1" customWidth="1"/>
    <col min="3" max="3" width="32" style="57" customWidth="1"/>
    <col min="4" max="4" width="5.3984375" style="57" customWidth="1"/>
    <col min="5" max="5" width="10.796875" style="57" bestFit="1" customWidth="1"/>
    <col min="6" max="6" width="10.3984375" style="57" bestFit="1" customWidth="1"/>
    <col min="7" max="7" width="8.59765625" style="57" customWidth="1"/>
    <col min="8" max="16" width="13.59765625" style="57" bestFit="1" customWidth="1"/>
    <col min="17" max="18" width="9.796875" style="57" bestFit="1" customWidth="1"/>
    <col min="19" max="16384" width="8.796875" style="57"/>
  </cols>
  <sheetData>
    <row r="1" spans="1:26" ht="14" x14ac:dyDescent="0.2">
      <c r="A1" s="1" t="s">
        <v>206</v>
      </c>
      <c r="H1" s="258" t="s">
        <v>217</v>
      </c>
      <c r="I1" s="259"/>
      <c r="J1" s="259"/>
      <c r="K1" s="260"/>
      <c r="L1" s="263" t="s">
        <v>216</v>
      </c>
      <c r="M1" s="264"/>
      <c r="N1" s="264"/>
      <c r="O1" s="265"/>
    </row>
    <row r="2" spans="1:26" s="105" customFormat="1" ht="14" x14ac:dyDescent="0.2">
      <c r="H2" s="112">
        <f>H31*1.55</f>
        <v>2263343.6505</v>
      </c>
      <c r="I2" s="113">
        <f t="shared" ref="I2:K2" si="0">I31*1.55</f>
        <v>2907847.6625000001</v>
      </c>
      <c r="J2" s="113">
        <f t="shared" si="0"/>
        <v>3391863.1400000006</v>
      </c>
      <c r="K2" s="114">
        <f t="shared" si="0"/>
        <v>8563054.4529999997</v>
      </c>
      <c r="L2" s="106">
        <f>L31*1.55</f>
        <v>2347436.6251666667</v>
      </c>
      <c r="M2" s="106">
        <f t="shared" ref="M2:P2" si="1">M31*1.55</f>
        <v>2712212.2901666663</v>
      </c>
      <c r="N2" s="106">
        <f t="shared" si="1"/>
        <v>3296603.7936666659</v>
      </c>
      <c r="O2" s="107">
        <f t="shared" si="1"/>
        <v>8356252.7090000007</v>
      </c>
      <c r="P2" s="108">
        <f t="shared" si="1"/>
        <v>206801.74399999998</v>
      </c>
    </row>
    <row r="3" spans="1:26" s="3" customFormat="1" x14ac:dyDescent="0.15">
      <c r="A3" s="83" t="s">
        <v>5</v>
      </c>
      <c r="B3" s="84" t="s">
        <v>0</v>
      </c>
      <c r="C3" s="84" t="s">
        <v>1</v>
      </c>
      <c r="D3" s="84" t="s">
        <v>4</v>
      </c>
      <c r="E3" s="84" t="s">
        <v>2</v>
      </c>
      <c r="F3" s="84" t="s">
        <v>3</v>
      </c>
      <c r="G3" s="84" t="s">
        <v>207</v>
      </c>
      <c r="H3" s="78" t="s">
        <v>212</v>
      </c>
      <c r="I3" s="79" t="s">
        <v>213</v>
      </c>
      <c r="J3" s="79" t="s">
        <v>214</v>
      </c>
      <c r="K3" s="80" t="s">
        <v>215</v>
      </c>
      <c r="L3" s="94" t="s">
        <v>212</v>
      </c>
      <c r="M3" s="94" t="s">
        <v>213</v>
      </c>
      <c r="N3" s="94" t="s">
        <v>214</v>
      </c>
      <c r="O3" s="95" t="s">
        <v>215</v>
      </c>
      <c r="P3" s="104" t="s">
        <v>218</v>
      </c>
      <c r="Q3" s="95" t="s">
        <v>128</v>
      </c>
      <c r="R3" s="95" t="s">
        <v>240</v>
      </c>
    </row>
    <row r="4" spans="1:26" x14ac:dyDescent="0.15">
      <c r="A4" s="85" t="s">
        <v>13</v>
      </c>
      <c r="B4" s="86" t="s">
        <v>45</v>
      </c>
      <c r="C4" s="86" t="s">
        <v>46</v>
      </c>
      <c r="D4" s="86" t="s">
        <v>10</v>
      </c>
      <c r="E4" s="87">
        <v>45151</v>
      </c>
      <c r="F4" s="87">
        <v>45835</v>
      </c>
      <c r="G4" s="109" t="s">
        <v>127</v>
      </c>
      <c r="H4" s="91">
        <v>69601.86</v>
      </c>
      <c r="I4" s="92">
        <v>93968</v>
      </c>
      <c r="J4" s="92">
        <v>123683</v>
      </c>
      <c r="K4" s="96">
        <f t="shared" ref="K4:K30" si="2">SUM(H4:J4)</f>
        <v>287252.86</v>
      </c>
      <c r="L4" s="92">
        <v>69429</v>
      </c>
      <c r="M4" s="92">
        <v>96773</v>
      </c>
      <c r="N4" s="92">
        <v>120966</v>
      </c>
      <c r="O4" s="96">
        <f t="shared" ref="O4:O30" si="3">SUM(L4:N4)</f>
        <v>287168</v>
      </c>
      <c r="P4" s="103">
        <f t="shared" ref="P4:P30" si="4">K4-O4</f>
        <v>84.85999999998603</v>
      </c>
      <c r="Q4" s="69"/>
      <c r="R4" s="69"/>
      <c r="S4" s="69"/>
      <c r="T4" s="69"/>
      <c r="U4" s="69"/>
      <c r="V4" s="69"/>
      <c r="W4" s="69"/>
      <c r="X4" s="69"/>
      <c r="Y4" s="69"/>
      <c r="Z4" s="69"/>
    </row>
    <row r="5" spans="1:26" x14ac:dyDescent="0.15">
      <c r="A5" s="81" t="s">
        <v>13</v>
      </c>
      <c r="B5" s="57" t="s">
        <v>49</v>
      </c>
      <c r="C5" s="57" t="s">
        <v>50</v>
      </c>
      <c r="D5" s="57" t="s">
        <v>10</v>
      </c>
      <c r="E5" s="82">
        <v>45245</v>
      </c>
      <c r="F5" s="82">
        <v>45869</v>
      </c>
      <c r="G5" s="110" t="s">
        <v>127</v>
      </c>
      <c r="H5" s="93">
        <v>29581.63</v>
      </c>
      <c r="I5" s="69">
        <v>56868</v>
      </c>
      <c r="J5" s="69">
        <v>48853</v>
      </c>
      <c r="K5" s="97">
        <f t="shared" si="2"/>
        <v>135302.63</v>
      </c>
      <c r="L5" s="69">
        <v>26089.63</v>
      </c>
      <c r="M5" s="69">
        <v>34214.35</v>
      </c>
      <c r="N5" s="69">
        <v>41226.370000000003</v>
      </c>
      <c r="O5" s="97">
        <f t="shared" si="3"/>
        <v>101530.35</v>
      </c>
      <c r="P5" s="103">
        <f t="shared" si="4"/>
        <v>33772.28</v>
      </c>
      <c r="Q5" s="69" t="s">
        <v>236</v>
      </c>
      <c r="R5" s="69"/>
      <c r="S5" s="69"/>
      <c r="T5" s="69"/>
      <c r="U5" s="69"/>
      <c r="V5" s="69"/>
      <c r="W5" s="69"/>
      <c r="X5" s="69"/>
      <c r="Y5" s="69"/>
      <c r="Z5" s="69"/>
    </row>
    <row r="6" spans="1:26" x14ac:dyDescent="0.15">
      <c r="A6" s="81" t="s">
        <v>13</v>
      </c>
      <c r="B6" s="57" t="s">
        <v>63</v>
      </c>
      <c r="C6" s="57" t="s">
        <v>64</v>
      </c>
      <c r="D6" s="57" t="s">
        <v>10</v>
      </c>
      <c r="E6" s="82">
        <v>45257</v>
      </c>
      <c r="F6" s="82">
        <v>46022</v>
      </c>
      <c r="G6" s="110" t="s">
        <v>127</v>
      </c>
      <c r="H6" s="93">
        <v>56873.56</v>
      </c>
      <c r="I6" s="69">
        <v>77730</v>
      </c>
      <c r="J6" s="69">
        <v>103170.5</v>
      </c>
      <c r="K6" s="97">
        <f t="shared" si="2"/>
        <v>237774.06</v>
      </c>
      <c r="L6" s="69">
        <v>61001.7</v>
      </c>
      <c r="M6" s="69">
        <v>75400.600000000006</v>
      </c>
      <c r="N6" s="69">
        <v>94251.199999999997</v>
      </c>
      <c r="O6" s="97">
        <f t="shared" si="3"/>
        <v>230653.5</v>
      </c>
      <c r="P6" s="103">
        <f t="shared" si="4"/>
        <v>7120.5599999999977</v>
      </c>
      <c r="Q6" s="69"/>
      <c r="R6" s="69"/>
      <c r="S6" s="69"/>
      <c r="T6" s="69"/>
      <c r="U6" s="69"/>
      <c r="V6" s="69"/>
      <c r="W6" s="69"/>
      <c r="X6" s="69"/>
      <c r="Y6" s="69"/>
      <c r="Z6" s="69"/>
    </row>
    <row r="7" spans="1:26" x14ac:dyDescent="0.15">
      <c r="A7" s="81" t="s">
        <v>13</v>
      </c>
      <c r="B7" s="57" t="s">
        <v>67</v>
      </c>
      <c r="C7" s="57" t="s">
        <v>68</v>
      </c>
      <c r="D7" s="57" t="s">
        <v>10</v>
      </c>
      <c r="E7" s="82">
        <v>45352</v>
      </c>
      <c r="F7" s="82">
        <v>46203</v>
      </c>
      <c r="G7" s="110" t="s">
        <v>127</v>
      </c>
      <c r="H7" s="93">
        <v>34290.03</v>
      </c>
      <c r="I7" s="69">
        <v>140136</v>
      </c>
      <c r="J7" s="69">
        <v>193343</v>
      </c>
      <c r="K7" s="97">
        <f t="shared" si="2"/>
        <v>367769.03</v>
      </c>
      <c r="L7" s="69">
        <v>19867</v>
      </c>
      <c r="M7" s="69">
        <v>24180.6</v>
      </c>
      <c r="N7" s="69">
        <v>62296.4</v>
      </c>
      <c r="O7" s="97">
        <f t="shared" si="3"/>
        <v>106344</v>
      </c>
      <c r="P7" s="103">
        <f t="shared" si="4"/>
        <v>261425.03000000003</v>
      </c>
      <c r="Q7" s="69" t="s">
        <v>237</v>
      </c>
      <c r="R7" s="69" t="s">
        <v>243</v>
      </c>
      <c r="S7" s="69"/>
      <c r="T7" s="69"/>
      <c r="U7" s="69"/>
      <c r="V7" s="69"/>
      <c r="W7" s="69"/>
      <c r="X7" s="69"/>
      <c r="Y7" s="69"/>
      <c r="Z7" s="69"/>
    </row>
    <row r="8" spans="1:26" x14ac:dyDescent="0.15">
      <c r="A8" s="81" t="s">
        <v>13</v>
      </c>
      <c r="B8" s="57" t="s">
        <v>73</v>
      </c>
      <c r="C8" s="57" t="s">
        <v>134</v>
      </c>
      <c r="D8" s="57" t="s">
        <v>10</v>
      </c>
      <c r="E8" s="82">
        <v>45425</v>
      </c>
      <c r="F8" s="82">
        <v>45961</v>
      </c>
      <c r="G8" s="110" t="s">
        <v>127</v>
      </c>
      <c r="H8" s="93">
        <v>480352.8</v>
      </c>
      <c r="I8" s="69">
        <v>443407</v>
      </c>
      <c r="J8" s="69">
        <v>575856</v>
      </c>
      <c r="K8" s="97">
        <f t="shared" si="2"/>
        <v>1499615.8</v>
      </c>
      <c r="L8" s="69">
        <v>397423.03</v>
      </c>
      <c r="M8" s="69">
        <v>422182.94</v>
      </c>
      <c r="N8" s="69">
        <v>521565.18</v>
      </c>
      <c r="O8" s="97">
        <f t="shared" si="3"/>
        <v>1341171.1499999999</v>
      </c>
      <c r="P8" s="103">
        <f t="shared" si="4"/>
        <v>158444.65000000014</v>
      </c>
      <c r="Q8" s="69" t="s">
        <v>238</v>
      </c>
      <c r="R8" s="69"/>
      <c r="S8" s="69"/>
      <c r="T8" s="69"/>
      <c r="U8" s="69"/>
      <c r="V8" s="69"/>
      <c r="W8" s="69"/>
      <c r="X8" s="69"/>
      <c r="Y8" s="69"/>
      <c r="Z8" s="69"/>
    </row>
    <row r="9" spans="1:26" x14ac:dyDescent="0.15">
      <c r="A9" s="81" t="s">
        <v>13</v>
      </c>
      <c r="B9" s="57" t="s">
        <v>88</v>
      </c>
      <c r="C9" s="57" t="s">
        <v>89</v>
      </c>
      <c r="D9" s="57" t="s">
        <v>10</v>
      </c>
      <c r="E9" s="82">
        <v>45566</v>
      </c>
      <c r="F9" s="82">
        <v>45849</v>
      </c>
      <c r="G9" s="110" t="s">
        <v>220</v>
      </c>
      <c r="H9" s="93">
        <v>58832.13</v>
      </c>
      <c r="I9" s="69">
        <v>0</v>
      </c>
      <c r="J9" s="69">
        <v>0</v>
      </c>
      <c r="K9" s="97">
        <f t="shared" si="2"/>
        <v>58832.13</v>
      </c>
      <c r="L9" s="69">
        <v>58832</v>
      </c>
      <c r="M9" s="69">
        <v>58832</v>
      </c>
      <c r="N9" s="69">
        <v>58832</v>
      </c>
      <c r="O9" s="97">
        <f t="shared" si="3"/>
        <v>176496</v>
      </c>
      <c r="P9" s="102">
        <f t="shared" si="4"/>
        <v>-117663.87</v>
      </c>
      <c r="Q9" s="69" t="s">
        <v>205</v>
      </c>
      <c r="R9" s="69"/>
      <c r="S9" s="69"/>
      <c r="T9" s="69"/>
      <c r="U9" s="69"/>
      <c r="V9" s="69"/>
      <c r="W9" s="69"/>
      <c r="X9" s="69"/>
      <c r="Y9" s="69"/>
      <c r="Z9" s="69"/>
    </row>
    <row r="10" spans="1:26" x14ac:dyDescent="0.15">
      <c r="A10" s="81" t="s">
        <v>13</v>
      </c>
      <c r="B10" s="57" t="s">
        <v>91</v>
      </c>
      <c r="C10" s="57" t="s">
        <v>92</v>
      </c>
      <c r="D10" s="57" t="s">
        <v>10</v>
      </c>
      <c r="E10" s="82">
        <v>45597</v>
      </c>
      <c r="F10" s="82">
        <v>45869</v>
      </c>
      <c r="G10" s="110" t="s">
        <v>127</v>
      </c>
      <c r="H10" s="93">
        <v>11572.85</v>
      </c>
      <c r="I10" s="69">
        <v>22723</v>
      </c>
      <c r="J10" s="69">
        <v>26669</v>
      </c>
      <c r="K10" s="97">
        <f t="shared" si="2"/>
        <v>60964.85</v>
      </c>
      <c r="L10" s="69">
        <v>12837.28</v>
      </c>
      <c r="M10" s="69">
        <v>17238.18</v>
      </c>
      <c r="N10" s="69">
        <v>22191.35</v>
      </c>
      <c r="O10" s="97">
        <f t="shared" si="3"/>
        <v>52266.81</v>
      </c>
      <c r="P10" s="103">
        <f t="shared" si="4"/>
        <v>8698.0400000000009</v>
      </c>
      <c r="Q10" s="69" t="s">
        <v>204</v>
      </c>
      <c r="R10" s="69"/>
      <c r="S10" s="69"/>
      <c r="T10" s="69"/>
      <c r="U10" s="69"/>
      <c r="V10" s="69"/>
      <c r="W10" s="69"/>
      <c r="X10" s="69"/>
      <c r="Y10" s="69"/>
      <c r="Z10" s="69"/>
    </row>
    <row r="11" spans="1:26" x14ac:dyDescent="0.15">
      <c r="A11" s="81" t="s">
        <v>13</v>
      </c>
      <c r="B11" s="57" t="s">
        <v>93</v>
      </c>
      <c r="C11" s="57" t="s">
        <v>94</v>
      </c>
      <c r="D11" s="57" t="s">
        <v>10</v>
      </c>
      <c r="E11" s="82">
        <v>45621</v>
      </c>
      <c r="F11" s="82">
        <v>45838</v>
      </c>
      <c r="G11" s="110" t="s">
        <v>127</v>
      </c>
      <c r="H11" s="93">
        <v>85999.25</v>
      </c>
      <c r="I11" s="69">
        <v>113017</v>
      </c>
      <c r="J11" s="69">
        <v>45348</v>
      </c>
      <c r="K11" s="97">
        <f t="shared" si="2"/>
        <v>244364.25</v>
      </c>
      <c r="L11" s="69">
        <v>98222</v>
      </c>
      <c r="M11" s="69">
        <v>103252</v>
      </c>
      <c r="N11" s="69">
        <v>42208</v>
      </c>
      <c r="O11" s="97">
        <f t="shared" si="3"/>
        <v>243682</v>
      </c>
      <c r="P11" s="103">
        <f t="shared" si="4"/>
        <v>682.25</v>
      </c>
      <c r="Q11" s="69"/>
      <c r="R11" s="69"/>
      <c r="S11" s="69"/>
      <c r="T11" s="69"/>
      <c r="U11" s="69"/>
      <c r="V11" s="69"/>
      <c r="W11" s="69"/>
      <c r="X11" s="69"/>
      <c r="Y11" s="69"/>
      <c r="Z11" s="69"/>
    </row>
    <row r="12" spans="1:26" x14ac:dyDescent="0.15">
      <c r="A12" s="81" t="s">
        <v>13</v>
      </c>
      <c r="B12" s="57" t="s">
        <v>97</v>
      </c>
      <c r="C12" s="57" t="s">
        <v>98</v>
      </c>
      <c r="D12" s="57" t="s">
        <v>10</v>
      </c>
      <c r="E12" s="82">
        <v>45628</v>
      </c>
      <c r="F12" s="82">
        <v>46022</v>
      </c>
      <c r="G12" s="110" t="s">
        <v>127</v>
      </c>
      <c r="H12" s="93">
        <v>57363.63</v>
      </c>
      <c r="I12" s="69">
        <v>93787</v>
      </c>
      <c r="J12" s="69">
        <v>71577</v>
      </c>
      <c r="K12" s="97">
        <f t="shared" si="2"/>
        <v>222727.63</v>
      </c>
      <c r="L12" s="69">
        <v>69335.600000000006</v>
      </c>
      <c r="M12" s="69">
        <v>70347.740000000005</v>
      </c>
      <c r="N12" s="69">
        <v>87934.68</v>
      </c>
      <c r="O12" s="97">
        <f t="shared" si="3"/>
        <v>227618.02000000002</v>
      </c>
      <c r="P12" s="102">
        <f t="shared" si="4"/>
        <v>-4890.390000000014</v>
      </c>
      <c r="Q12" s="69" t="s">
        <v>239</v>
      </c>
      <c r="R12" s="69"/>
      <c r="S12" s="69"/>
      <c r="T12" s="69"/>
      <c r="U12" s="69"/>
      <c r="V12" s="69"/>
      <c r="W12" s="69"/>
      <c r="X12" s="69"/>
      <c r="Y12" s="69"/>
      <c r="Z12" s="69"/>
    </row>
    <row r="13" spans="1:26" x14ac:dyDescent="0.15">
      <c r="A13" s="81" t="s">
        <v>13</v>
      </c>
      <c r="B13" s="57" t="s">
        <v>99</v>
      </c>
      <c r="C13" s="57" t="s">
        <v>100</v>
      </c>
      <c r="D13" s="57" t="s">
        <v>10</v>
      </c>
      <c r="E13" s="82">
        <v>45670</v>
      </c>
      <c r="F13" s="82">
        <v>45838</v>
      </c>
      <c r="G13" s="110" t="s">
        <v>127</v>
      </c>
      <c r="H13" s="93">
        <v>-13631.56</v>
      </c>
      <c r="I13" s="69">
        <v>109267</v>
      </c>
      <c r="J13" s="69">
        <v>81821</v>
      </c>
      <c r="K13" s="97">
        <f t="shared" si="2"/>
        <v>177456.44</v>
      </c>
      <c r="L13" s="69">
        <v>45998.48</v>
      </c>
      <c r="M13" s="69">
        <v>70050.720000000001</v>
      </c>
      <c r="N13" s="69">
        <v>87097.71</v>
      </c>
      <c r="O13" s="97">
        <f t="shared" si="3"/>
        <v>203146.91000000003</v>
      </c>
      <c r="P13" s="102">
        <f t="shared" si="4"/>
        <v>-25690.47000000003</v>
      </c>
      <c r="Q13" s="69" t="s">
        <v>222</v>
      </c>
      <c r="R13" s="69"/>
      <c r="S13" s="69"/>
      <c r="T13" s="69"/>
      <c r="U13" s="69"/>
      <c r="V13" s="69"/>
      <c r="W13" s="69"/>
      <c r="X13" s="69"/>
      <c r="Y13" s="69"/>
      <c r="Z13" s="69"/>
    </row>
    <row r="14" spans="1:26" x14ac:dyDescent="0.15">
      <c r="A14" s="81" t="s">
        <v>13</v>
      </c>
      <c r="B14" s="57" t="s">
        <v>101</v>
      </c>
      <c r="C14" s="57" t="s">
        <v>135</v>
      </c>
      <c r="D14" s="57" t="s">
        <v>10</v>
      </c>
      <c r="E14" s="82">
        <v>45658</v>
      </c>
      <c r="F14" s="82">
        <v>45996</v>
      </c>
      <c r="G14" s="110" t="s">
        <v>127</v>
      </c>
      <c r="H14" s="93">
        <v>27516.52</v>
      </c>
      <c r="I14" s="69">
        <v>30698</v>
      </c>
      <c r="J14" s="69">
        <v>94470</v>
      </c>
      <c r="K14" s="97">
        <f t="shared" si="2"/>
        <v>152684.52000000002</v>
      </c>
      <c r="L14" s="69">
        <v>25517.01</v>
      </c>
      <c r="M14" s="69">
        <v>26409.53</v>
      </c>
      <c r="N14" s="69">
        <v>88996.47</v>
      </c>
      <c r="O14" s="97">
        <f t="shared" si="3"/>
        <v>140923.01</v>
      </c>
      <c r="P14" s="103">
        <f t="shared" si="4"/>
        <v>11761.510000000009</v>
      </c>
      <c r="Q14" s="69"/>
      <c r="R14" s="69"/>
      <c r="S14" s="69"/>
      <c r="T14" s="69"/>
      <c r="U14" s="69"/>
      <c r="V14" s="69"/>
      <c r="W14" s="69"/>
      <c r="X14" s="69"/>
      <c r="Y14" s="69"/>
      <c r="Z14" s="69"/>
    </row>
    <row r="15" spans="1:26" x14ac:dyDescent="0.15">
      <c r="A15" s="81" t="s">
        <v>13</v>
      </c>
      <c r="B15" s="57" t="s">
        <v>102</v>
      </c>
      <c r="C15" s="57" t="s">
        <v>209</v>
      </c>
      <c r="D15" s="57" t="s">
        <v>10</v>
      </c>
      <c r="E15" s="82">
        <v>45659</v>
      </c>
      <c r="F15" s="82">
        <v>45838</v>
      </c>
      <c r="G15" s="110" t="s">
        <v>127</v>
      </c>
      <c r="H15" s="93">
        <v>3490</v>
      </c>
      <c r="I15" s="69">
        <v>0</v>
      </c>
      <c r="J15" s="69">
        <v>990</v>
      </c>
      <c r="K15" s="97">
        <f t="shared" si="2"/>
        <v>4480</v>
      </c>
      <c r="L15" s="69">
        <v>3490</v>
      </c>
      <c r="M15" s="69">
        <v>0</v>
      </c>
      <c r="N15" s="69">
        <v>990</v>
      </c>
      <c r="O15" s="97">
        <f t="shared" si="3"/>
        <v>4480</v>
      </c>
      <c r="P15" s="103">
        <f t="shared" si="4"/>
        <v>0</v>
      </c>
      <c r="Q15" s="69"/>
      <c r="R15" s="69"/>
      <c r="S15" s="69"/>
      <c r="T15" s="69"/>
      <c r="U15" s="69"/>
      <c r="V15" s="69"/>
      <c r="W15" s="69"/>
      <c r="X15" s="69"/>
      <c r="Y15" s="69"/>
      <c r="Z15" s="69"/>
    </row>
    <row r="16" spans="1:26" x14ac:dyDescent="0.15">
      <c r="A16" s="81" t="s">
        <v>13</v>
      </c>
      <c r="B16" s="57" t="s">
        <v>102</v>
      </c>
      <c r="C16" s="57" t="s">
        <v>209</v>
      </c>
      <c r="D16" s="57" t="s">
        <v>219</v>
      </c>
      <c r="E16" s="82">
        <v>45659</v>
      </c>
      <c r="F16" s="82">
        <v>45838</v>
      </c>
      <c r="G16" s="110" t="s">
        <v>127</v>
      </c>
      <c r="H16" s="93">
        <f>4479.93-3490</f>
        <v>989.93000000000029</v>
      </c>
      <c r="I16" s="69">
        <v>47098</v>
      </c>
      <c r="J16" s="69">
        <f>86030-990</f>
        <v>85040</v>
      </c>
      <c r="K16" s="97">
        <f t="shared" si="2"/>
        <v>133127.93</v>
      </c>
      <c r="L16" s="69">
        <v>0</v>
      </c>
      <c r="M16" s="69">
        <v>95750.432258064524</v>
      </c>
      <c r="N16" s="69">
        <v>100000.03870967742</v>
      </c>
      <c r="O16" s="97">
        <f t="shared" si="3"/>
        <v>195750.47096774195</v>
      </c>
      <c r="P16" s="103">
        <f t="shared" si="4"/>
        <v>-62622.540967741952</v>
      </c>
      <c r="Q16" s="69" t="s">
        <v>221</v>
      </c>
      <c r="R16" s="69"/>
      <c r="S16" s="69"/>
      <c r="T16" s="69"/>
      <c r="U16" s="69"/>
      <c r="V16" s="69"/>
      <c r="W16" s="69"/>
      <c r="X16" s="69"/>
      <c r="Y16" s="69"/>
      <c r="Z16" s="69"/>
    </row>
    <row r="17" spans="1:26" x14ac:dyDescent="0.15">
      <c r="A17" s="81" t="s">
        <v>13</v>
      </c>
      <c r="B17" s="57" t="s">
        <v>103</v>
      </c>
      <c r="C17" s="57" t="s">
        <v>104</v>
      </c>
      <c r="D17" s="57" t="s">
        <v>10</v>
      </c>
      <c r="E17" s="82">
        <v>45677</v>
      </c>
      <c r="F17" s="82">
        <v>45856</v>
      </c>
      <c r="G17" s="110" t="s">
        <v>127</v>
      </c>
      <c r="H17" s="93">
        <v>50173.63</v>
      </c>
      <c r="I17" s="69">
        <v>50643</v>
      </c>
      <c r="J17" s="69">
        <v>65416</v>
      </c>
      <c r="K17" s="97">
        <f t="shared" si="2"/>
        <v>166232.63</v>
      </c>
      <c r="L17" s="69">
        <v>48029.97</v>
      </c>
      <c r="M17" s="69">
        <v>49396.77</v>
      </c>
      <c r="N17" s="69">
        <v>61745.97</v>
      </c>
      <c r="O17" s="97">
        <f t="shared" si="3"/>
        <v>159172.71</v>
      </c>
      <c r="P17" s="103">
        <f t="shared" si="4"/>
        <v>7059.9200000000128</v>
      </c>
      <c r="Q17" s="69"/>
      <c r="R17" s="69"/>
      <c r="S17" s="69"/>
      <c r="T17" s="69"/>
      <c r="U17" s="69"/>
      <c r="V17" s="69"/>
      <c r="W17" s="69"/>
      <c r="X17" s="69"/>
      <c r="Y17" s="69"/>
      <c r="Z17" s="69"/>
    </row>
    <row r="18" spans="1:26" x14ac:dyDescent="0.15">
      <c r="A18" s="81" t="s">
        <v>13</v>
      </c>
      <c r="B18" s="57" t="s">
        <v>130</v>
      </c>
      <c r="C18" s="57" t="s">
        <v>136</v>
      </c>
      <c r="D18" s="57" t="s">
        <v>10</v>
      </c>
      <c r="E18" s="82">
        <v>45658</v>
      </c>
      <c r="F18" s="82">
        <v>45869</v>
      </c>
      <c r="G18" s="110" t="s">
        <v>127</v>
      </c>
      <c r="H18" s="93">
        <v>41039.870000000003</v>
      </c>
      <c r="I18" s="69">
        <v>76206</v>
      </c>
      <c r="J18" s="69">
        <v>96867</v>
      </c>
      <c r="K18" s="97">
        <f t="shared" si="2"/>
        <v>214112.87</v>
      </c>
      <c r="L18" s="69">
        <v>29793.51</v>
      </c>
      <c r="M18" s="69">
        <v>77264.399999999994</v>
      </c>
      <c r="N18" s="69">
        <v>96580.51</v>
      </c>
      <c r="O18" s="97">
        <f t="shared" si="3"/>
        <v>203638.41999999998</v>
      </c>
      <c r="P18" s="103">
        <f t="shared" si="4"/>
        <v>10474.450000000012</v>
      </c>
      <c r="Q18" s="69"/>
      <c r="R18" s="69"/>
      <c r="S18" s="69"/>
      <c r="T18" s="69"/>
      <c r="U18" s="69"/>
      <c r="V18" s="69"/>
      <c r="W18" s="69"/>
      <c r="X18" s="69"/>
      <c r="Y18" s="69"/>
      <c r="Z18" s="69"/>
    </row>
    <row r="19" spans="1:26" x14ac:dyDescent="0.15">
      <c r="A19" s="81" t="s">
        <v>13</v>
      </c>
      <c r="B19" s="57" t="s">
        <v>196</v>
      </c>
      <c r="C19" s="57" t="s">
        <v>197</v>
      </c>
      <c r="D19" s="57" t="s">
        <v>219</v>
      </c>
      <c r="E19" s="82">
        <v>45748</v>
      </c>
      <c r="F19" s="82">
        <v>45991</v>
      </c>
      <c r="G19" s="110" t="s">
        <v>127</v>
      </c>
      <c r="H19" s="93">
        <v>0</v>
      </c>
      <c r="I19" s="69">
        <v>111471</v>
      </c>
      <c r="J19" s="69">
        <v>76621</v>
      </c>
      <c r="K19" s="97">
        <f t="shared" si="2"/>
        <v>188092</v>
      </c>
      <c r="L19" s="69">
        <v>90000.038709677421</v>
      </c>
      <c r="M19" s="69">
        <v>90000.038709677421</v>
      </c>
      <c r="N19" s="69">
        <v>90000.038709677421</v>
      </c>
      <c r="O19" s="97">
        <f t="shared" si="3"/>
        <v>270000.11612903228</v>
      </c>
      <c r="P19" s="103">
        <f t="shared" si="4"/>
        <v>-81908.116129032278</v>
      </c>
      <c r="Q19" s="69" t="s">
        <v>221</v>
      </c>
      <c r="R19" s="69"/>
      <c r="S19" s="69"/>
      <c r="T19" s="69"/>
      <c r="U19" s="69"/>
      <c r="V19" s="69"/>
      <c r="W19" s="69"/>
      <c r="X19" s="69"/>
      <c r="Y19" s="69"/>
      <c r="Z19" s="69"/>
    </row>
    <row r="20" spans="1:26" x14ac:dyDescent="0.15">
      <c r="A20" s="81" t="s">
        <v>13</v>
      </c>
      <c r="B20" s="57" t="s">
        <v>198</v>
      </c>
      <c r="C20" s="57" t="s">
        <v>199</v>
      </c>
      <c r="D20" s="57" t="s">
        <v>219</v>
      </c>
      <c r="E20" s="82">
        <v>45778</v>
      </c>
      <c r="F20" s="82">
        <v>45884</v>
      </c>
      <c r="G20" s="110" t="s">
        <v>220</v>
      </c>
      <c r="H20" s="93">
        <v>0</v>
      </c>
      <c r="I20" s="69">
        <v>0</v>
      </c>
      <c r="J20" s="69">
        <v>39153.47</v>
      </c>
      <c r="K20" s="97">
        <f t="shared" si="2"/>
        <v>39153.47</v>
      </c>
      <c r="L20" s="69">
        <v>0</v>
      </c>
      <c r="M20" s="69">
        <v>20000.006451612902</v>
      </c>
      <c r="N20" s="69">
        <v>25000.006451612902</v>
      </c>
      <c r="O20" s="97">
        <f t="shared" si="3"/>
        <v>45000.012903225805</v>
      </c>
      <c r="P20" s="103">
        <f t="shared" si="4"/>
        <v>-5846.5429032258035</v>
      </c>
      <c r="Q20" s="69" t="s">
        <v>221</v>
      </c>
      <c r="R20" s="69"/>
      <c r="S20" s="69"/>
      <c r="T20" s="69"/>
      <c r="U20" s="69"/>
      <c r="V20" s="69"/>
      <c r="W20" s="69"/>
      <c r="X20" s="69"/>
      <c r="Y20" s="69"/>
      <c r="Z20" s="69"/>
    </row>
    <row r="21" spans="1:26" x14ac:dyDescent="0.15">
      <c r="A21" s="81" t="s">
        <v>168</v>
      </c>
      <c r="B21" s="57" t="s">
        <v>172</v>
      </c>
      <c r="C21" s="57" t="s">
        <v>173</v>
      </c>
      <c r="D21" s="57" t="s">
        <v>8</v>
      </c>
      <c r="E21" s="82">
        <v>45292</v>
      </c>
      <c r="F21" s="82">
        <v>45657</v>
      </c>
      <c r="G21" s="110" t="s">
        <v>208</v>
      </c>
      <c r="H21" s="93">
        <v>8188.83</v>
      </c>
      <c r="I21" s="69">
        <v>0</v>
      </c>
      <c r="J21" s="69">
        <v>0</v>
      </c>
      <c r="K21" s="97">
        <f t="shared" si="2"/>
        <v>8188.83</v>
      </c>
      <c r="L21" s="69">
        <v>0</v>
      </c>
      <c r="M21" s="69">
        <v>0</v>
      </c>
      <c r="N21" s="69">
        <v>0</v>
      </c>
      <c r="O21" s="97">
        <f t="shared" si="3"/>
        <v>0</v>
      </c>
      <c r="P21" s="103">
        <f t="shared" si="4"/>
        <v>8188.83</v>
      </c>
      <c r="Q21" s="69"/>
      <c r="R21" s="69"/>
      <c r="S21" s="69"/>
      <c r="T21" s="69"/>
      <c r="U21" s="69"/>
      <c r="V21" s="69"/>
      <c r="W21" s="69"/>
      <c r="X21" s="69"/>
      <c r="Y21" s="69"/>
      <c r="Z21" s="69"/>
    </row>
    <row r="22" spans="1:26" x14ac:dyDescent="0.15">
      <c r="A22" s="81" t="s">
        <v>168</v>
      </c>
      <c r="B22" s="57" t="s">
        <v>178</v>
      </c>
      <c r="C22" s="57" t="s">
        <v>179</v>
      </c>
      <c r="D22" s="57" t="s">
        <v>10</v>
      </c>
      <c r="E22" s="82">
        <v>45627</v>
      </c>
      <c r="F22" s="82">
        <v>45835</v>
      </c>
      <c r="G22" s="110" t="s">
        <v>220</v>
      </c>
      <c r="H22" s="93">
        <v>109323.15</v>
      </c>
      <c r="I22" s="69">
        <v>87459</v>
      </c>
      <c r="J22" s="69">
        <v>131187</v>
      </c>
      <c r="K22" s="97">
        <f t="shared" si="2"/>
        <v>327969.15000000002</v>
      </c>
      <c r="L22" s="69">
        <v>109323</v>
      </c>
      <c r="M22" s="69">
        <v>87459</v>
      </c>
      <c r="N22" s="69">
        <v>131187</v>
      </c>
      <c r="O22" s="97">
        <f t="shared" si="3"/>
        <v>327969</v>
      </c>
      <c r="P22" s="103">
        <f t="shared" si="4"/>
        <v>0.15000000002328306</v>
      </c>
      <c r="Q22" s="69"/>
      <c r="R22" s="69"/>
      <c r="S22" s="69"/>
      <c r="T22" s="69"/>
      <c r="U22" s="69"/>
      <c r="V22" s="69"/>
      <c r="W22" s="69"/>
      <c r="X22" s="69"/>
      <c r="Y22" s="69"/>
      <c r="Z22" s="69"/>
    </row>
    <row r="23" spans="1:26" x14ac:dyDescent="0.15">
      <c r="A23" s="81" t="s">
        <v>168</v>
      </c>
      <c r="B23" s="57" t="s">
        <v>180</v>
      </c>
      <c r="C23" s="57" t="s">
        <v>181</v>
      </c>
      <c r="D23" s="57" t="s">
        <v>10</v>
      </c>
      <c r="E23" s="82">
        <v>45627</v>
      </c>
      <c r="F23" s="82">
        <v>45961</v>
      </c>
      <c r="G23" s="110" t="s">
        <v>127</v>
      </c>
      <c r="H23" s="93">
        <v>0</v>
      </c>
      <c r="I23" s="69">
        <v>0</v>
      </c>
      <c r="J23" s="69">
        <v>0</v>
      </c>
      <c r="K23" s="97">
        <f t="shared" si="2"/>
        <v>0</v>
      </c>
      <c r="L23" s="69">
        <v>0</v>
      </c>
      <c r="M23" s="69">
        <v>0</v>
      </c>
      <c r="N23" s="69">
        <v>55734</v>
      </c>
      <c r="O23" s="97">
        <f t="shared" si="3"/>
        <v>55734</v>
      </c>
      <c r="P23" s="102">
        <f t="shared" si="4"/>
        <v>-55734</v>
      </c>
      <c r="Q23" s="69" t="s">
        <v>223</v>
      </c>
      <c r="R23" s="69"/>
      <c r="S23" s="69"/>
      <c r="T23" s="69"/>
      <c r="U23" s="69"/>
      <c r="V23" s="69"/>
      <c r="W23" s="69"/>
      <c r="X23" s="69"/>
      <c r="Y23" s="69"/>
      <c r="Z23" s="69"/>
    </row>
    <row r="24" spans="1:26" x14ac:dyDescent="0.15">
      <c r="A24" s="81" t="s">
        <v>168</v>
      </c>
      <c r="B24" s="57" t="s">
        <v>182</v>
      </c>
      <c r="C24" s="57" t="s">
        <v>183</v>
      </c>
      <c r="D24" s="57" t="s">
        <v>10</v>
      </c>
      <c r="E24" s="82">
        <v>45627</v>
      </c>
      <c r="F24" s="82">
        <v>45838</v>
      </c>
      <c r="G24" s="110" t="s">
        <v>208</v>
      </c>
      <c r="H24" s="93">
        <v>186876.85</v>
      </c>
      <c r="I24" s="69">
        <v>180847.62</v>
      </c>
      <c r="J24" s="69">
        <v>179570.51</v>
      </c>
      <c r="K24" s="97">
        <f t="shared" si="2"/>
        <v>547294.98</v>
      </c>
      <c r="L24" s="69">
        <v>180604.22</v>
      </c>
      <c r="M24" s="69">
        <v>183345.18</v>
      </c>
      <c r="N24" s="69">
        <v>183345.18</v>
      </c>
      <c r="O24" s="97">
        <f t="shared" si="3"/>
        <v>547294.58000000007</v>
      </c>
      <c r="P24" s="103">
        <f t="shared" si="4"/>
        <v>0.39999999990686774</v>
      </c>
      <c r="Q24" s="69"/>
      <c r="R24" s="69"/>
      <c r="S24" s="69"/>
      <c r="T24" s="69"/>
      <c r="U24" s="69"/>
      <c r="V24" s="69"/>
      <c r="W24" s="69"/>
      <c r="X24" s="69"/>
      <c r="Y24" s="69"/>
      <c r="Z24" s="69"/>
    </row>
    <row r="25" spans="1:26" x14ac:dyDescent="0.15">
      <c r="A25" s="81" t="s">
        <v>168</v>
      </c>
      <c r="B25" s="57" t="s">
        <v>186</v>
      </c>
      <c r="C25" s="57" t="s">
        <v>187</v>
      </c>
      <c r="D25" s="57" t="s">
        <v>10</v>
      </c>
      <c r="E25" s="82">
        <v>45627</v>
      </c>
      <c r="F25" s="82">
        <v>45838</v>
      </c>
      <c r="G25" s="110" t="s">
        <v>208</v>
      </c>
      <c r="H25" s="93">
        <v>49436.21</v>
      </c>
      <c r="I25" s="69">
        <v>36015.040000000001</v>
      </c>
      <c r="J25" s="69">
        <v>30637</v>
      </c>
      <c r="K25" s="97">
        <f t="shared" si="2"/>
        <v>116088.25</v>
      </c>
      <c r="L25" s="69">
        <v>49436</v>
      </c>
      <c r="M25" s="69">
        <v>36015.040000000001</v>
      </c>
      <c r="N25" s="69">
        <v>30637</v>
      </c>
      <c r="O25" s="97">
        <f t="shared" si="3"/>
        <v>116088.04000000001</v>
      </c>
      <c r="P25" s="103">
        <f t="shared" si="4"/>
        <v>0.20999999999185093</v>
      </c>
      <c r="Q25" s="69"/>
      <c r="R25" s="69"/>
      <c r="S25" s="69"/>
      <c r="T25" s="69"/>
      <c r="U25" s="69"/>
      <c r="V25" s="69"/>
      <c r="W25" s="69"/>
      <c r="X25" s="69"/>
      <c r="Y25" s="69"/>
      <c r="Z25" s="69"/>
    </row>
    <row r="26" spans="1:26" x14ac:dyDescent="0.15">
      <c r="A26" s="81" t="s">
        <v>168</v>
      </c>
      <c r="B26" s="57" t="s">
        <v>188</v>
      </c>
      <c r="C26" s="57" t="s">
        <v>210</v>
      </c>
      <c r="D26" s="57" t="s">
        <v>10</v>
      </c>
      <c r="E26" s="82">
        <v>45609</v>
      </c>
      <c r="F26" s="82">
        <v>45838</v>
      </c>
      <c r="G26" s="110" t="s">
        <v>208</v>
      </c>
      <c r="H26" s="93">
        <v>53189.7</v>
      </c>
      <c r="I26" s="69">
        <v>53189.7</v>
      </c>
      <c r="J26" s="69">
        <v>53189.7</v>
      </c>
      <c r="K26" s="97">
        <f t="shared" si="2"/>
        <v>159569.09999999998</v>
      </c>
      <c r="L26" s="69">
        <v>53189.7</v>
      </c>
      <c r="M26" s="69">
        <v>53189.7</v>
      </c>
      <c r="N26" s="69">
        <v>53189.7</v>
      </c>
      <c r="O26" s="97">
        <f t="shared" si="3"/>
        <v>159569.09999999998</v>
      </c>
      <c r="P26" s="103">
        <f t="shared" si="4"/>
        <v>0</v>
      </c>
      <c r="Q26" s="69"/>
      <c r="R26" s="69"/>
      <c r="S26" s="69"/>
      <c r="T26" s="69"/>
      <c r="U26" s="69"/>
      <c r="V26" s="69"/>
      <c r="W26" s="69"/>
      <c r="X26" s="69"/>
      <c r="Y26" s="69"/>
      <c r="Z26" s="69"/>
    </row>
    <row r="27" spans="1:26" x14ac:dyDescent="0.15">
      <c r="A27" s="81" t="s">
        <v>168</v>
      </c>
      <c r="B27" s="57" t="s">
        <v>188</v>
      </c>
      <c r="C27" s="57" t="s">
        <v>210</v>
      </c>
      <c r="D27" s="57" t="s">
        <v>219</v>
      </c>
      <c r="E27" s="82">
        <v>45609</v>
      </c>
      <c r="F27" s="82">
        <v>45838</v>
      </c>
      <c r="G27" s="110" t="s">
        <v>208</v>
      </c>
      <c r="H27" s="93">
        <f>60191.58-H26</f>
        <v>7001.8800000000047</v>
      </c>
      <c r="I27" s="69">
        <f>67007.8-I26</f>
        <v>13818.100000000006</v>
      </c>
      <c r="J27" s="69">
        <f>67007.8-J26</f>
        <v>13818.100000000006</v>
      </c>
      <c r="K27" s="97">
        <f t="shared" si="2"/>
        <v>34638.080000000016</v>
      </c>
      <c r="L27" s="69">
        <v>18333.333333333332</v>
      </c>
      <c r="M27" s="69">
        <v>18333.333333333332</v>
      </c>
      <c r="N27" s="69">
        <v>18333.333333333332</v>
      </c>
      <c r="O27" s="97">
        <f t="shared" si="3"/>
        <v>55000</v>
      </c>
      <c r="P27" s="103">
        <f t="shared" si="4"/>
        <v>-20361.919999999984</v>
      </c>
      <c r="Q27" s="69" t="s">
        <v>221</v>
      </c>
      <c r="R27" s="69"/>
      <c r="S27" s="69"/>
      <c r="T27" s="69"/>
      <c r="U27" s="69"/>
      <c r="V27" s="69"/>
      <c r="W27" s="69"/>
      <c r="X27" s="69"/>
      <c r="Y27" s="69"/>
      <c r="Z27" s="69"/>
    </row>
    <row r="28" spans="1:26" x14ac:dyDescent="0.15">
      <c r="A28" s="81" t="s">
        <v>168</v>
      </c>
      <c r="B28" s="57" t="s">
        <v>189</v>
      </c>
      <c r="C28" s="57" t="s">
        <v>190</v>
      </c>
      <c r="D28" s="57" t="s">
        <v>10</v>
      </c>
      <c r="E28" s="82">
        <v>45609</v>
      </c>
      <c r="F28" s="82">
        <v>45838</v>
      </c>
      <c r="G28" s="110" t="s">
        <v>208</v>
      </c>
      <c r="H28" s="93">
        <v>30981.74</v>
      </c>
      <c r="I28" s="69">
        <v>19174.490000000002</v>
      </c>
      <c r="J28" s="69">
        <v>24756.54</v>
      </c>
      <c r="K28" s="97">
        <f t="shared" si="2"/>
        <v>74912.77</v>
      </c>
      <c r="L28" s="69">
        <v>26171.02</v>
      </c>
      <c r="M28" s="69">
        <v>21671.02</v>
      </c>
      <c r="N28" s="69">
        <v>26271.040000000001</v>
      </c>
      <c r="O28" s="97">
        <f t="shared" si="3"/>
        <v>74113.08</v>
      </c>
      <c r="P28" s="103">
        <f t="shared" si="4"/>
        <v>799.69000000000233</v>
      </c>
      <c r="Q28" s="69"/>
      <c r="R28" s="69"/>
      <c r="S28" s="69"/>
      <c r="T28" s="69"/>
      <c r="U28" s="69"/>
      <c r="V28" s="69"/>
      <c r="W28" s="69"/>
      <c r="X28" s="69"/>
      <c r="Y28" s="69"/>
      <c r="Z28" s="69"/>
    </row>
    <row r="29" spans="1:26" x14ac:dyDescent="0.15">
      <c r="A29" s="81" t="s">
        <v>168</v>
      </c>
      <c r="B29" s="57" t="s">
        <v>191</v>
      </c>
      <c r="C29" s="57" t="s">
        <v>192</v>
      </c>
      <c r="D29" s="57" t="s">
        <v>10</v>
      </c>
      <c r="E29" s="82">
        <v>45658</v>
      </c>
      <c r="F29" s="82">
        <v>45838</v>
      </c>
      <c r="G29" s="110" t="s">
        <v>220</v>
      </c>
      <c r="H29" s="93">
        <v>15219.59</v>
      </c>
      <c r="I29" s="69">
        <v>12175.67</v>
      </c>
      <c r="J29" s="69">
        <v>18263.5</v>
      </c>
      <c r="K29" s="97">
        <f t="shared" si="2"/>
        <v>45658.76</v>
      </c>
      <c r="L29" s="69">
        <v>15219.59</v>
      </c>
      <c r="M29" s="69">
        <v>12175.67</v>
      </c>
      <c r="N29" s="69">
        <v>18263.5</v>
      </c>
      <c r="O29" s="97">
        <f t="shared" si="3"/>
        <v>45658.76</v>
      </c>
      <c r="P29" s="102">
        <f t="shared" si="4"/>
        <v>0</v>
      </c>
      <c r="Q29" s="69"/>
      <c r="R29" s="69"/>
      <c r="S29" s="69"/>
      <c r="T29" s="69"/>
      <c r="U29" s="69"/>
      <c r="V29" s="69"/>
      <c r="W29" s="69"/>
      <c r="X29" s="69"/>
      <c r="Y29" s="69"/>
      <c r="Z29" s="69"/>
    </row>
    <row r="30" spans="1:26" x14ac:dyDescent="0.15">
      <c r="A30" s="88" t="s">
        <v>168</v>
      </c>
      <c r="B30" s="89" t="s">
        <v>193</v>
      </c>
      <c r="C30" s="89" t="s">
        <v>194</v>
      </c>
      <c r="D30" s="89" t="s">
        <v>10</v>
      </c>
      <c r="E30" s="90">
        <v>45658</v>
      </c>
      <c r="F30" s="90">
        <v>46022</v>
      </c>
      <c r="G30" s="111" t="s">
        <v>211</v>
      </c>
      <c r="H30" s="93">
        <v>5957.63</v>
      </c>
      <c r="I30" s="69">
        <v>6332.13</v>
      </c>
      <c r="J30" s="69">
        <v>7998.48</v>
      </c>
      <c r="K30" s="97">
        <f t="shared" si="2"/>
        <v>20288.239999999998</v>
      </c>
      <c r="L30" s="69">
        <v>6332.13</v>
      </c>
      <c r="M30" s="69">
        <v>6332.13</v>
      </c>
      <c r="N30" s="69">
        <v>7998.48</v>
      </c>
      <c r="O30" s="97">
        <f t="shared" si="3"/>
        <v>20662.739999999998</v>
      </c>
      <c r="P30" s="102">
        <f t="shared" si="4"/>
        <v>-374.5</v>
      </c>
      <c r="Q30" s="69"/>
      <c r="R30" s="69"/>
      <c r="S30" s="69"/>
      <c r="T30" s="69"/>
      <c r="U30" s="69"/>
      <c r="V30" s="69"/>
      <c r="W30" s="69"/>
      <c r="X30" s="69"/>
      <c r="Y30" s="69"/>
      <c r="Z30" s="69"/>
    </row>
    <row r="31" spans="1:26" s="3" customFormat="1" x14ac:dyDescent="0.15">
      <c r="A31" s="261" t="s">
        <v>105</v>
      </c>
      <c r="B31" s="262"/>
      <c r="C31" s="262"/>
      <c r="D31" s="262"/>
      <c r="E31" s="262"/>
      <c r="F31" s="262"/>
      <c r="G31" s="262"/>
      <c r="H31" s="98">
        <f t="shared" ref="H31:P31" si="5">SUBTOTAL(9,H4:H30)</f>
        <v>1460221.71</v>
      </c>
      <c r="I31" s="99">
        <f t="shared" si="5"/>
        <v>1876030.75</v>
      </c>
      <c r="J31" s="99">
        <f t="shared" si="5"/>
        <v>2188298.8000000003</v>
      </c>
      <c r="K31" s="115">
        <f t="shared" si="5"/>
        <v>5524551.2599999998</v>
      </c>
      <c r="L31" s="100">
        <f t="shared" si="5"/>
        <v>1514475.2420430107</v>
      </c>
      <c r="M31" s="100">
        <f t="shared" si="5"/>
        <v>1749814.3807526878</v>
      </c>
      <c r="N31" s="100">
        <f t="shared" si="5"/>
        <v>2126841.1572043006</v>
      </c>
      <c r="O31" s="101">
        <f t="shared" si="5"/>
        <v>5391130.7800000003</v>
      </c>
      <c r="P31" s="12">
        <f t="shared" si="5"/>
        <v>133420.47999999998</v>
      </c>
      <c r="Q31" s="6"/>
      <c r="R31" s="6"/>
      <c r="S31" s="6"/>
      <c r="T31" s="6"/>
      <c r="U31" s="6"/>
      <c r="V31" s="6"/>
      <c r="W31" s="6"/>
      <c r="X31" s="6"/>
      <c r="Y31" s="6"/>
      <c r="Z31" s="6"/>
    </row>
    <row r="32" spans="1:26" x14ac:dyDescent="0.15">
      <c r="H32" s="69"/>
      <c r="I32" s="69"/>
      <c r="J32" s="69"/>
      <c r="K32" s="69"/>
      <c r="L32" s="69"/>
      <c r="M32" s="69"/>
      <c r="N32" s="69"/>
      <c r="O32" s="69"/>
      <c r="P32" s="69"/>
      <c r="Q32" s="69"/>
      <c r="R32" s="69"/>
      <c r="S32" s="69"/>
      <c r="T32" s="69"/>
      <c r="U32" s="69"/>
      <c r="V32" s="69"/>
      <c r="W32" s="69"/>
      <c r="X32" s="69"/>
      <c r="Y32" s="69"/>
      <c r="Z32" s="69"/>
    </row>
    <row r="33" spans="8:26" x14ac:dyDescent="0.15">
      <c r="H33" s="69"/>
      <c r="I33" s="69"/>
      <c r="J33" s="69"/>
      <c r="K33" s="69"/>
      <c r="L33" s="69"/>
      <c r="M33" s="69"/>
      <c r="N33" s="69"/>
      <c r="O33" s="69"/>
      <c r="P33" s="69"/>
      <c r="Q33" s="69"/>
      <c r="R33" s="69"/>
      <c r="S33" s="69"/>
      <c r="T33" s="69"/>
      <c r="U33" s="69"/>
      <c r="V33" s="69"/>
      <c r="W33" s="69"/>
      <c r="X33" s="69"/>
      <c r="Y33" s="69"/>
      <c r="Z33" s="69"/>
    </row>
  </sheetData>
  <autoFilter ref="A3:P30" xr:uid="{D7D3D4A8-0CC5-4711-8C52-CE805318F579}"/>
  <mergeCells count="3">
    <mergeCell ref="H1:K1"/>
    <mergeCell ref="A31:G31"/>
    <mergeCell ref="L1:O1"/>
  </mergeCells>
  <conditionalFormatting sqref="B1:B1048576">
    <cfRule type="duplicateValues" dxfId="2" priority="1"/>
  </conditionalFormatting>
  <conditionalFormatting sqref="P4:P30">
    <cfRule type="cellIs" dxfId="1" priority="2" operator="greaterThan">
      <formula>0</formula>
    </cfRule>
    <cfRule type="cellIs" dxfId="0" priority="3"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A3E4F-4E7A-4A9D-9963-4787D5082139}">
  <dimension ref="A2:P30"/>
  <sheetViews>
    <sheetView workbookViewId="0"/>
  </sheetViews>
  <sheetFormatPr baseColWidth="10" defaultColWidth="8.796875" defaultRowHeight="12" x14ac:dyDescent="0.15"/>
  <cols>
    <col min="1" max="2" width="8.796875" style="57"/>
    <col min="3" max="3" width="31.3984375" style="57" customWidth="1"/>
    <col min="4" max="4" width="8.796875" style="57"/>
    <col min="5" max="5" width="7.19921875" style="57" customWidth="1"/>
    <col min="6" max="6" width="9.3984375" style="57" customWidth="1"/>
    <col min="7" max="7" width="9.59765625" style="57" bestFit="1" customWidth="1"/>
    <col min="8" max="14" width="14.796875" style="57" customWidth="1"/>
    <col min="15" max="15" width="14.59765625" style="57" customWidth="1"/>
    <col min="16" max="16" width="11" style="57" bestFit="1" customWidth="1"/>
    <col min="17" max="16384" width="8.796875" style="57"/>
  </cols>
  <sheetData>
    <row r="2" spans="1:16" x14ac:dyDescent="0.15">
      <c r="A2" s="116" t="s">
        <v>5</v>
      </c>
      <c r="B2" s="116" t="s">
        <v>0</v>
      </c>
      <c r="C2" s="116" t="s">
        <v>1</v>
      </c>
      <c r="D2" s="116" t="s">
        <v>4</v>
      </c>
      <c r="E2" s="116" t="s">
        <v>207</v>
      </c>
      <c r="F2" s="116" t="s">
        <v>2</v>
      </c>
      <c r="G2" s="116" t="s">
        <v>3</v>
      </c>
      <c r="H2" s="116" t="s">
        <v>224</v>
      </c>
      <c r="I2" s="116" t="s">
        <v>229</v>
      </c>
      <c r="J2" s="116" t="s">
        <v>225</v>
      </c>
      <c r="K2" s="116" t="s">
        <v>226</v>
      </c>
      <c r="L2" s="116" t="s">
        <v>227</v>
      </c>
      <c r="M2" s="117" t="s">
        <v>230</v>
      </c>
      <c r="N2" s="117" t="s">
        <v>228</v>
      </c>
      <c r="O2" s="119" t="s">
        <v>128</v>
      </c>
    </row>
    <row r="3" spans="1:16" x14ac:dyDescent="0.15">
      <c r="A3" s="57" t="s">
        <v>13</v>
      </c>
      <c r="B3" s="57" t="s">
        <v>45</v>
      </c>
      <c r="C3" s="57" t="s">
        <v>46</v>
      </c>
      <c r="D3" s="57" t="s">
        <v>10</v>
      </c>
      <c r="E3" s="57" t="s">
        <v>208</v>
      </c>
      <c r="F3" s="82">
        <v>45151</v>
      </c>
      <c r="G3" s="82">
        <v>45835</v>
      </c>
      <c r="H3" s="69">
        <v>1367971.14</v>
      </c>
      <c r="I3" s="69">
        <v>1375087.3</v>
      </c>
      <c r="J3" s="69">
        <v>1136282.28</v>
      </c>
      <c r="K3" s="69">
        <v>231689</v>
      </c>
      <c r="L3" s="69">
        <v>1367971.28</v>
      </c>
      <c r="M3" s="69">
        <f>H3-L3</f>
        <v>-0.14000000013038516</v>
      </c>
      <c r="N3" s="69">
        <f>I3-L3</f>
        <v>7116.0200000000186</v>
      </c>
      <c r="O3" s="57" t="s">
        <v>231</v>
      </c>
      <c r="P3" s="69"/>
    </row>
    <row r="4" spans="1:16" x14ac:dyDescent="0.15">
      <c r="A4" s="57" t="s">
        <v>13</v>
      </c>
      <c r="B4" s="57" t="s">
        <v>49</v>
      </c>
      <c r="C4" s="57" t="s">
        <v>50</v>
      </c>
      <c r="D4" s="57" t="s">
        <v>10</v>
      </c>
      <c r="E4" s="57" t="s">
        <v>208</v>
      </c>
      <c r="F4" s="82">
        <v>45245</v>
      </c>
      <c r="G4" s="82">
        <v>45869</v>
      </c>
      <c r="H4" s="69">
        <v>1005924.62</v>
      </c>
      <c r="I4" s="69">
        <v>1011194.65</v>
      </c>
      <c r="J4" s="69">
        <v>634894.67000000004</v>
      </c>
      <c r="K4" s="69">
        <v>371030</v>
      </c>
      <c r="L4" s="69">
        <v>1005924.67</v>
      </c>
      <c r="M4" s="69">
        <f t="shared" ref="M4:M27" si="0">H4-L4</f>
        <v>-5.0000000046566129E-2</v>
      </c>
      <c r="N4" s="69">
        <f t="shared" ref="N4:N27" si="1">I4-L4</f>
        <v>5269.9799999999814</v>
      </c>
      <c r="O4" s="57" t="s">
        <v>231</v>
      </c>
      <c r="P4" s="69"/>
    </row>
    <row r="5" spans="1:16" x14ac:dyDescent="0.15">
      <c r="A5" s="57" t="s">
        <v>13</v>
      </c>
      <c r="B5" s="57" t="s">
        <v>63</v>
      </c>
      <c r="C5" s="57" t="s">
        <v>64</v>
      </c>
      <c r="D5" s="57" t="s">
        <v>10</v>
      </c>
      <c r="E5" s="57" t="s">
        <v>208</v>
      </c>
      <c r="F5" s="82">
        <v>45257</v>
      </c>
      <c r="G5" s="82">
        <v>46022</v>
      </c>
      <c r="H5" s="69">
        <v>2090331.62</v>
      </c>
      <c r="I5" s="69">
        <v>2101167.83</v>
      </c>
      <c r="J5" s="69">
        <v>1074015.97</v>
      </c>
      <c r="K5" s="69">
        <v>1016315.43</v>
      </c>
      <c r="L5" s="69">
        <v>2090331.4</v>
      </c>
      <c r="M5" s="69">
        <f t="shared" si="0"/>
        <v>0.22000000020489097</v>
      </c>
      <c r="N5" s="69">
        <f t="shared" si="1"/>
        <v>10836.430000000168</v>
      </c>
      <c r="O5" s="57" t="s">
        <v>231</v>
      </c>
      <c r="P5" s="69"/>
    </row>
    <row r="6" spans="1:16" x14ac:dyDescent="0.15">
      <c r="A6" s="57" t="s">
        <v>13</v>
      </c>
      <c r="B6" s="57" t="s">
        <v>67</v>
      </c>
      <c r="C6" s="57" t="s">
        <v>68</v>
      </c>
      <c r="D6" s="57" t="s">
        <v>10</v>
      </c>
      <c r="E6" s="57" t="s">
        <v>208</v>
      </c>
      <c r="F6" s="82">
        <v>45352</v>
      </c>
      <c r="G6" s="82">
        <v>46203</v>
      </c>
      <c r="H6" s="69">
        <v>2765494.7</v>
      </c>
      <c r="I6" s="69">
        <v>2779722.52</v>
      </c>
      <c r="J6" s="69">
        <v>373190.28</v>
      </c>
      <c r="K6" s="69">
        <v>2392304</v>
      </c>
      <c r="L6" s="69">
        <v>2765494.28</v>
      </c>
      <c r="M6" s="69">
        <f t="shared" si="0"/>
        <v>0.42000000039115548</v>
      </c>
      <c r="N6" s="69">
        <f t="shared" si="1"/>
        <v>14228.240000000224</v>
      </c>
      <c r="O6" s="57" t="s">
        <v>231</v>
      </c>
      <c r="P6" s="69" t="s">
        <v>242</v>
      </c>
    </row>
    <row r="7" spans="1:16" x14ac:dyDescent="0.15">
      <c r="A7" s="57" t="s">
        <v>13</v>
      </c>
      <c r="B7" s="57" t="s">
        <v>73</v>
      </c>
      <c r="C7" s="57" t="s">
        <v>134</v>
      </c>
      <c r="D7" s="57" t="s">
        <v>10</v>
      </c>
      <c r="E7" s="57" t="s">
        <v>208</v>
      </c>
      <c r="F7" s="82">
        <v>45425</v>
      </c>
      <c r="G7" s="82">
        <v>45961</v>
      </c>
      <c r="H7" s="69">
        <v>6587607.0099999998</v>
      </c>
      <c r="I7" s="69">
        <v>6623714.7300000004</v>
      </c>
      <c r="J7" s="69">
        <v>2958932.95</v>
      </c>
      <c r="K7" s="69">
        <v>3628674</v>
      </c>
      <c r="L7" s="69">
        <v>6587606.9500000002</v>
      </c>
      <c r="M7" s="69">
        <f t="shared" si="0"/>
        <v>5.9999999590218067E-2</v>
      </c>
      <c r="N7" s="69">
        <f t="shared" si="1"/>
        <v>36107.780000000261</v>
      </c>
      <c r="O7" s="57" t="s">
        <v>231</v>
      </c>
      <c r="P7" s="69"/>
    </row>
    <row r="8" spans="1:16" x14ac:dyDescent="0.15">
      <c r="A8" s="57" t="s">
        <v>13</v>
      </c>
      <c r="B8" s="57" t="s">
        <v>88</v>
      </c>
      <c r="C8" s="57" t="s">
        <v>89</v>
      </c>
      <c r="D8" s="57" t="s">
        <v>10</v>
      </c>
      <c r="E8" s="57" t="s">
        <v>208</v>
      </c>
      <c r="F8" s="82">
        <v>45566</v>
      </c>
      <c r="G8" s="82">
        <v>45849</v>
      </c>
      <c r="H8" s="69">
        <v>490267.78</v>
      </c>
      <c r="I8" s="69">
        <v>492979.20000000001</v>
      </c>
      <c r="J8" s="69">
        <v>343187.45</v>
      </c>
      <c r="K8" s="69">
        <v>147080</v>
      </c>
      <c r="L8" s="69">
        <v>490267.45</v>
      </c>
      <c r="M8" s="69">
        <f t="shared" si="0"/>
        <v>0.33000000001629815</v>
      </c>
      <c r="N8" s="69">
        <f t="shared" si="1"/>
        <v>2711.75</v>
      </c>
      <c r="O8" s="57" t="s">
        <v>231</v>
      </c>
      <c r="P8" s="69"/>
    </row>
    <row r="9" spans="1:16" x14ac:dyDescent="0.15">
      <c r="A9" s="57" t="s">
        <v>13</v>
      </c>
      <c r="B9" s="57" t="s">
        <v>91</v>
      </c>
      <c r="C9" s="57" t="s">
        <v>92</v>
      </c>
      <c r="D9" s="57" t="s">
        <v>10</v>
      </c>
      <c r="E9" s="57" t="s">
        <v>208</v>
      </c>
      <c r="F9" s="82">
        <v>45597</v>
      </c>
      <c r="G9" s="82">
        <v>45869</v>
      </c>
      <c r="H9" s="69">
        <v>500761.14</v>
      </c>
      <c r="I9" s="69">
        <v>503530.55</v>
      </c>
      <c r="J9" s="69">
        <v>136030.57999999999</v>
      </c>
      <c r="K9" s="69">
        <v>364730</v>
      </c>
      <c r="L9" s="69">
        <v>500760.58</v>
      </c>
      <c r="M9" s="69">
        <f t="shared" si="0"/>
        <v>0.55999999999767169</v>
      </c>
      <c r="N9" s="69">
        <f t="shared" si="1"/>
        <v>2769.9699999999721</v>
      </c>
      <c r="O9" s="57" t="s">
        <v>231</v>
      </c>
      <c r="P9" s="69"/>
    </row>
    <row r="10" spans="1:16" x14ac:dyDescent="0.15">
      <c r="A10" s="57" t="s">
        <v>13</v>
      </c>
      <c r="B10" s="57" t="s">
        <v>93</v>
      </c>
      <c r="C10" s="57" t="s">
        <v>94</v>
      </c>
      <c r="D10" s="57" t="s">
        <v>10</v>
      </c>
      <c r="E10" s="57" t="s">
        <v>208</v>
      </c>
      <c r="F10" s="82">
        <v>45621</v>
      </c>
      <c r="G10" s="82">
        <v>45838</v>
      </c>
      <c r="H10" s="69">
        <v>650224.02</v>
      </c>
      <c r="I10" s="69">
        <v>650412.68000000005</v>
      </c>
      <c r="J10" s="69">
        <v>453300.05</v>
      </c>
      <c r="K10" s="69">
        <v>196924</v>
      </c>
      <c r="L10" s="69">
        <v>650224.05000000005</v>
      </c>
      <c r="M10" s="69">
        <f t="shared" si="0"/>
        <v>-3.0000000027939677E-2</v>
      </c>
      <c r="N10" s="69">
        <f t="shared" si="1"/>
        <v>188.63000000000466</v>
      </c>
      <c r="P10" s="69"/>
    </row>
    <row r="11" spans="1:16" x14ac:dyDescent="0.15">
      <c r="A11" s="57" t="s">
        <v>13</v>
      </c>
      <c r="B11" s="57" t="s">
        <v>97</v>
      </c>
      <c r="C11" s="57" t="s">
        <v>98</v>
      </c>
      <c r="D11" s="57" t="s">
        <v>10</v>
      </c>
      <c r="E11" s="57" t="s">
        <v>208</v>
      </c>
      <c r="F11" s="82">
        <v>45628</v>
      </c>
      <c r="G11" s="82">
        <v>46022</v>
      </c>
      <c r="H11" s="69">
        <v>752248.34</v>
      </c>
      <c r="I11" s="69">
        <v>756408.62</v>
      </c>
      <c r="J11" s="69">
        <v>391169.13</v>
      </c>
      <c r="K11" s="69">
        <v>361079</v>
      </c>
      <c r="L11" s="69">
        <v>752248.13</v>
      </c>
      <c r="M11" s="69">
        <f t="shared" si="0"/>
        <v>0.2099999999627471</v>
      </c>
      <c r="N11" s="69">
        <f t="shared" si="1"/>
        <v>4160.4899999999907</v>
      </c>
      <c r="O11" s="57" t="s">
        <v>231</v>
      </c>
      <c r="P11" s="69"/>
    </row>
    <row r="12" spans="1:16" x14ac:dyDescent="0.15">
      <c r="A12" s="57" t="s">
        <v>13</v>
      </c>
      <c r="B12" s="57" t="s">
        <v>99</v>
      </c>
      <c r="C12" s="57" t="s">
        <v>100</v>
      </c>
      <c r="D12" s="57" t="s">
        <v>10</v>
      </c>
      <c r="E12" s="57" t="s">
        <v>208</v>
      </c>
      <c r="F12" s="82">
        <v>45670</v>
      </c>
      <c r="G12" s="82">
        <v>45838</v>
      </c>
      <c r="H12" s="69">
        <v>372723.15</v>
      </c>
      <c r="I12" s="69">
        <v>374784.47</v>
      </c>
      <c r="J12" s="69">
        <v>169251.05</v>
      </c>
      <c r="K12" s="69">
        <v>203472</v>
      </c>
      <c r="L12" s="69">
        <v>372723.05</v>
      </c>
      <c r="M12" s="69">
        <f t="shared" si="0"/>
        <v>0.1000000000349246</v>
      </c>
      <c r="N12" s="69">
        <f t="shared" si="1"/>
        <v>2061.4199999999837</v>
      </c>
      <c r="O12" s="57" t="s">
        <v>231</v>
      </c>
      <c r="P12" s="69"/>
    </row>
    <row r="13" spans="1:16" x14ac:dyDescent="0.15">
      <c r="A13" s="57" t="s">
        <v>13</v>
      </c>
      <c r="B13" s="57" t="s">
        <v>101</v>
      </c>
      <c r="C13" s="57" t="s">
        <v>135</v>
      </c>
      <c r="D13" s="57" t="s">
        <v>10</v>
      </c>
      <c r="E13" s="57" t="s">
        <v>208</v>
      </c>
      <c r="F13" s="82">
        <v>45658</v>
      </c>
      <c r="G13" s="82">
        <v>45996</v>
      </c>
      <c r="H13" s="69">
        <v>1205711.8</v>
      </c>
      <c r="I13" s="69">
        <v>1212379.8899999999</v>
      </c>
      <c r="J13" s="69">
        <v>94404.02</v>
      </c>
      <c r="K13" s="69">
        <v>1111308</v>
      </c>
      <c r="L13" s="69">
        <v>1205712.02</v>
      </c>
      <c r="M13" s="69">
        <f t="shared" si="0"/>
        <v>-0.21999999997206032</v>
      </c>
      <c r="N13" s="69">
        <f t="shared" si="1"/>
        <v>6667.8699999998789</v>
      </c>
      <c r="O13" s="57" t="s">
        <v>231</v>
      </c>
      <c r="P13" s="69"/>
    </row>
    <row r="14" spans="1:16" x14ac:dyDescent="0.15">
      <c r="A14" s="57" t="s">
        <v>13</v>
      </c>
      <c r="B14" s="57" t="s">
        <v>102</v>
      </c>
      <c r="C14" s="57" t="s">
        <v>209</v>
      </c>
      <c r="D14" s="57" t="s">
        <v>10</v>
      </c>
      <c r="E14" s="57" t="s">
        <v>208</v>
      </c>
      <c r="F14" s="82">
        <v>45659</v>
      </c>
      <c r="G14" s="82">
        <v>45838</v>
      </c>
      <c r="H14" s="69">
        <v>385962.34</v>
      </c>
      <c r="I14" s="69">
        <v>388096.91</v>
      </c>
      <c r="J14" s="69">
        <v>190212</v>
      </c>
      <c r="K14" s="69">
        <v>195750</v>
      </c>
      <c r="L14" s="69">
        <v>385962</v>
      </c>
      <c r="M14" s="69">
        <f t="shared" si="0"/>
        <v>0.34000000002561137</v>
      </c>
      <c r="N14" s="69">
        <f t="shared" si="1"/>
        <v>2134.9099999999744</v>
      </c>
      <c r="O14" s="57" t="s">
        <v>231</v>
      </c>
      <c r="P14" s="69"/>
    </row>
    <row r="15" spans="1:16" x14ac:dyDescent="0.15">
      <c r="A15" s="57" t="s">
        <v>13</v>
      </c>
      <c r="B15" s="57" t="s">
        <v>103</v>
      </c>
      <c r="C15" s="57" t="s">
        <v>104</v>
      </c>
      <c r="D15" s="57" t="s">
        <v>10</v>
      </c>
      <c r="E15" s="57" t="s">
        <v>208</v>
      </c>
      <c r="F15" s="82">
        <v>45677</v>
      </c>
      <c r="G15" s="82">
        <v>45856</v>
      </c>
      <c r="H15" s="69">
        <v>379834.75</v>
      </c>
      <c r="I15" s="69">
        <v>381935.43</v>
      </c>
      <c r="J15" s="69">
        <v>174286.36</v>
      </c>
      <c r="K15" s="69">
        <v>205549</v>
      </c>
      <c r="L15" s="69">
        <v>379835.36</v>
      </c>
      <c r="M15" s="69">
        <f t="shared" si="0"/>
        <v>-0.60999999998603016</v>
      </c>
      <c r="N15" s="69">
        <f t="shared" si="1"/>
        <v>2100.070000000007</v>
      </c>
      <c r="O15" s="57" t="s">
        <v>231</v>
      </c>
      <c r="P15" s="69"/>
    </row>
    <row r="16" spans="1:16" x14ac:dyDescent="0.15">
      <c r="A16" s="57" t="s">
        <v>13</v>
      </c>
      <c r="B16" s="57" t="s">
        <v>130</v>
      </c>
      <c r="C16" s="57" t="s">
        <v>136</v>
      </c>
      <c r="D16" s="57" t="s">
        <v>10</v>
      </c>
      <c r="E16" s="57" t="s">
        <v>208</v>
      </c>
      <c r="F16" s="82">
        <v>45658</v>
      </c>
      <c r="G16" s="82">
        <v>45869</v>
      </c>
      <c r="H16" s="69">
        <v>250407.22</v>
      </c>
      <c r="I16" s="69">
        <v>251792.12</v>
      </c>
      <c r="J16" s="69">
        <v>57589.67</v>
      </c>
      <c r="K16" s="69">
        <v>192818</v>
      </c>
      <c r="L16" s="69">
        <v>250407.67</v>
      </c>
      <c r="M16" s="69">
        <f t="shared" si="0"/>
        <v>-0.45000000001164153</v>
      </c>
      <c r="N16" s="69">
        <f t="shared" si="1"/>
        <v>1384.4499999999825</v>
      </c>
      <c r="O16" s="57" t="s">
        <v>231</v>
      </c>
      <c r="P16" s="69"/>
    </row>
    <row r="17" spans="1:16" x14ac:dyDescent="0.15">
      <c r="A17" s="57" t="s">
        <v>13</v>
      </c>
      <c r="B17" s="57" t="s">
        <v>196</v>
      </c>
      <c r="C17" s="57" t="s">
        <v>197</v>
      </c>
      <c r="D17" s="57" t="s">
        <v>10</v>
      </c>
      <c r="E17" s="57" t="s">
        <v>208</v>
      </c>
      <c r="F17" s="82">
        <v>45748</v>
      </c>
      <c r="G17" s="82">
        <v>45991</v>
      </c>
      <c r="H17" s="69">
        <v>1341373.28</v>
      </c>
      <c r="I17" s="69">
        <v>1348791.69</v>
      </c>
      <c r="J17" s="69">
        <v>0</v>
      </c>
      <c r="K17" s="69">
        <v>1341373</v>
      </c>
      <c r="L17" s="69">
        <v>1341373</v>
      </c>
      <c r="M17" s="69">
        <f t="shared" si="0"/>
        <v>0.28000000002793968</v>
      </c>
      <c r="N17" s="69">
        <f t="shared" si="1"/>
        <v>7418.6899999999441</v>
      </c>
      <c r="O17" s="57" t="s">
        <v>231</v>
      </c>
      <c r="P17" s="69"/>
    </row>
    <row r="18" spans="1:16" x14ac:dyDescent="0.15">
      <c r="A18" s="118" t="s">
        <v>13</v>
      </c>
      <c r="B18" s="57" t="s">
        <v>198</v>
      </c>
      <c r="C18" s="57" t="s">
        <v>199</v>
      </c>
      <c r="D18" s="57" t="s">
        <v>10</v>
      </c>
      <c r="E18" s="57" t="s">
        <v>208</v>
      </c>
      <c r="F18" s="82">
        <v>45778</v>
      </c>
      <c r="G18" s="82">
        <v>45884</v>
      </c>
      <c r="H18" s="69">
        <v>85902.47</v>
      </c>
      <c r="I18" s="69">
        <v>86377.57</v>
      </c>
      <c r="J18" s="69">
        <v>0</v>
      </c>
      <c r="K18" s="69">
        <v>85902.5</v>
      </c>
      <c r="L18" s="69">
        <v>85902.5</v>
      </c>
      <c r="M18" s="69">
        <f t="shared" si="0"/>
        <v>-2.9999999998835847E-2</v>
      </c>
      <c r="N18" s="69">
        <f t="shared" si="1"/>
        <v>475.07000000000698</v>
      </c>
      <c r="O18" s="57" t="s">
        <v>231</v>
      </c>
      <c r="P18" s="69"/>
    </row>
    <row r="19" spans="1:16" x14ac:dyDescent="0.15">
      <c r="A19" s="57" t="s">
        <v>168</v>
      </c>
      <c r="B19" s="57" t="s">
        <v>178</v>
      </c>
      <c r="C19" s="57" t="s">
        <v>179</v>
      </c>
      <c r="D19" s="57" t="s">
        <v>10</v>
      </c>
      <c r="E19" s="57" t="s">
        <v>208</v>
      </c>
      <c r="F19" s="82">
        <v>45627</v>
      </c>
      <c r="G19" s="82">
        <v>45835</v>
      </c>
      <c r="H19" s="69">
        <v>677035.24</v>
      </c>
      <c r="I19" s="69">
        <v>680779.56</v>
      </c>
      <c r="J19" s="69">
        <v>458388.99</v>
      </c>
      <c r="K19" s="69">
        <v>218646</v>
      </c>
      <c r="L19" s="69">
        <v>677034.99</v>
      </c>
      <c r="M19" s="69">
        <f t="shared" si="0"/>
        <v>0.25</v>
      </c>
      <c r="N19" s="69">
        <f t="shared" si="1"/>
        <v>3744.5700000000652</v>
      </c>
      <c r="O19" s="57" t="s">
        <v>231</v>
      </c>
      <c r="P19" s="69"/>
    </row>
    <row r="20" spans="1:16" x14ac:dyDescent="0.15">
      <c r="A20" s="57" t="s">
        <v>168</v>
      </c>
      <c r="B20" s="57" t="s">
        <v>180</v>
      </c>
      <c r="C20" s="57" t="s">
        <v>181</v>
      </c>
      <c r="D20" s="57" t="s">
        <v>10</v>
      </c>
      <c r="E20" s="57" t="s">
        <v>208</v>
      </c>
      <c r="F20" s="82">
        <v>45627</v>
      </c>
      <c r="G20" s="82">
        <v>45961</v>
      </c>
      <c r="H20" s="69">
        <v>620443.96</v>
      </c>
      <c r="I20" s="69">
        <v>623875.27</v>
      </c>
      <c r="J20" s="69">
        <v>0</v>
      </c>
      <c r="K20" s="69">
        <v>620444</v>
      </c>
      <c r="L20" s="69">
        <v>620444</v>
      </c>
      <c r="M20" s="69">
        <f t="shared" si="0"/>
        <v>-4.0000000037252903E-2</v>
      </c>
      <c r="N20" s="69">
        <f t="shared" si="1"/>
        <v>3431.2700000000186</v>
      </c>
      <c r="O20" s="57" t="s">
        <v>231</v>
      </c>
      <c r="P20" s="69"/>
    </row>
    <row r="21" spans="1:16" x14ac:dyDescent="0.15">
      <c r="A21" s="57" t="s">
        <v>168</v>
      </c>
      <c r="B21" s="57" t="s">
        <v>182</v>
      </c>
      <c r="C21" s="57" t="s">
        <v>183</v>
      </c>
      <c r="D21" s="57" t="s">
        <v>10</v>
      </c>
      <c r="E21" s="57" t="s">
        <v>208</v>
      </c>
      <c r="F21" s="82">
        <v>45627</v>
      </c>
      <c r="G21" s="82">
        <v>45838</v>
      </c>
      <c r="H21" s="69">
        <v>1131025.26</v>
      </c>
      <c r="I21" s="69">
        <v>1103400.57</v>
      </c>
      <c r="J21" s="69">
        <v>770607.27</v>
      </c>
      <c r="K21" s="69">
        <v>360418.13</v>
      </c>
      <c r="L21" s="69">
        <v>1131025.3999999999</v>
      </c>
      <c r="M21" s="69">
        <f t="shared" si="0"/>
        <v>-0.13999999989755452</v>
      </c>
      <c r="N21" s="69">
        <f t="shared" si="1"/>
        <v>-27624.829999999842</v>
      </c>
      <c r="O21" s="57" t="s">
        <v>232</v>
      </c>
      <c r="P21" s="69"/>
    </row>
    <row r="22" spans="1:16" x14ac:dyDescent="0.15">
      <c r="A22" s="57" t="s">
        <v>168</v>
      </c>
      <c r="B22" s="57" t="s">
        <v>184</v>
      </c>
      <c r="C22" s="57" t="s">
        <v>185</v>
      </c>
      <c r="D22" s="57" t="s">
        <v>10</v>
      </c>
      <c r="E22" s="57" t="s">
        <v>208</v>
      </c>
      <c r="F22" s="82">
        <v>45658</v>
      </c>
      <c r="G22" s="82">
        <v>45838</v>
      </c>
      <c r="H22" s="69">
        <v>35605.1</v>
      </c>
      <c r="I22" s="69">
        <v>35802</v>
      </c>
      <c r="J22" s="69">
        <v>35605.089999999997</v>
      </c>
      <c r="K22" s="69">
        <v>0</v>
      </c>
      <c r="L22" s="69">
        <v>35605.089999999997</v>
      </c>
      <c r="M22" s="69">
        <f t="shared" si="0"/>
        <v>1.0000000002037268E-2</v>
      </c>
      <c r="N22" s="69">
        <f t="shared" si="1"/>
        <v>196.91000000000349</v>
      </c>
      <c r="O22" s="57" t="s">
        <v>231</v>
      </c>
      <c r="P22" s="69"/>
    </row>
    <row r="23" spans="1:16" x14ac:dyDescent="0.15">
      <c r="A23" s="57" t="s">
        <v>168</v>
      </c>
      <c r="B23" s="57" t="s">
        <v>186</v>
      </c>
      <c r="C23" s="57" t="s">
        <v>187</v>
      </c>
      <c r="D23" s="57" t="s">
        <v>10</v>
      </c>
      <c r="E23" s="57" t="s">
        <v>208</v>
      </c>
      <c r="F23" s="82">
        <v>45627</v>
      </c>
      <c r="G23" s="82">
        <v>45838</v>
      </c>
      <c r="H23" s="69">
        <v>237555.67</v>
      </c>
      <c r="I23" s="69">
        <v>237555.67</v>
      </c>
      <c r="J23" s="69">
        <v>170903.92</v>
      </c>
      <c r="K23" s="69">
        <v>66652.039999999994</v>
      </c>
      <c r="L23" s="69">
        <v>237555.96</v>
      </c>
      <c r="M23" s="69">
        <f t="shared" si="0"/>
        <v>-0.28999999997904524</v>
      </c>
      <c r="N23" s="69">
        <f t="shared" si="1"/>
        <v>-0.28999999997904524</v>
      </c>
      <c r="P23" s="69"/>
    </row>
    <row r="24" spans="1:16" x14ac:dyDescent="0.15">
      <c r="A24" s="57" t="s">
        <v>168</v>
      </c>
      <c r="B24" s="57" t="s">
        <v>188</v>
      </c>
      <c r="C24" s="57" t="s">
        <v>210</v>
      </c>
      <c r="D24" s="57" t="s">
        <v>10</v>
      </c>
      <c r="E24" s="57" t="s">
        <v>208</v>
      </c>
      <c r="F24" s="82">
        <v>45609</v>
      </c>
      <c r="G24" s="82">
        <v>45838</v>
      </c>
      <c r="H24" s="69">
        <v>363144.3</v>
      </c>
      <c r="I24" s="69">
        <v>365956.83</v>
      </c>
      <c r="J24" s="69">
        <v>229128.76</v>
      </c>
      <c r="K24" s="69">
        <v>134015.6</v>
      </c>
      <c r="L24" s="69">
        <v>363144.36</v>
      </c>
      <c r="M24" s="69">
        <f t="shared" si="0"/>
        <v>-5.9999999997671694E-2</v>
      </c>
      <c r="N24" s="69">
        <f t="shared" si="1"/>
        <v>2812.4700000000303</v>
      </c>
      <c r="O24" s="57" t="s">
        <v>233</v>
      </c>
      <c r="P24" s="69"/>
    </row>
    <row r="25" spans="1:16" x14ac:dyDescent="0.15">
      <c r="A25" s="57" t="s">
        <v>168</v>
      </c>
      <c r="B25" s="57" t="s">
        <v>189</v>
      </c>
      <c r="C25" s="57" t="s">
        <v>190</v>
      </c>
      <c r="D25" s="57" t="s">
        <v>10</v>
      </c>
      <c r="E25" s="57" t="s">
        <v>208</v>
      </c>
      <c r="F25" s="82">
        <v>45609</v>
      </c>
      <c r="G25" s="82">
        <v>45838</v>
      </c>
      <c r="H25" s="69">
        <v>145400.89000000001</v>
      </c>
      <c r="I25" s="69">
        <v>145400.93</v>
      </c>
      <c r="J25" s="69">
        <v>101469.89</v>
      </c>
      <c r="K25" s="69">
        <v>43931.03</v>
      </c>
      <c r="L25" s="69">
        <v>145400.92000000001</v>
      </c>
      <c r="M25" s="69">
        <f t="shared" si="0"/>
        <v>-2.9999999998835847E-2</v>
      </c>
      <c r="N25" s="69">
        <f t="shared" si="1"/>
        <v>9.9999999802093953E-3</v>
      </c>
      <c r="P25" s="69"/>
    </row>
    <row r="26" spans="1:16" x14ac:dyDescent="0.15">
      <c r="A26" s="57" t="s">
        <v>168</v>
      </c>
      <c r="B26" s="57" t="s">
        <v>191</v>
      </c>
      <c r="C26" s="57" t="s">
        <v>192</v>
      </c>
      <c r="D26" s="57" t="s">
        <v>10</v>
      </c>
      <c r="E26" s="57" t="s">
        <v>208</v>
      </c>
      <c r="F26" s="82">
        <v>45658</v>
      </c>
      <c r="G26" s="82">
        <v>45838</v>
      </c>
      <c r="H26" s="69">
        <v>91317.53</v>
      </c>
      <c r="I26" s="69">
        <v>91822.57</v>
      </c>
      <c r="J26" s="69">
        <v>60878.36</v>
      </c>
      <c r="K26" s="69">
        <v>30439.17</v>
      </c>
      <c r="L26" s="69">
        <v>91317.53</v>
      </c>
      <c r="M26" s="69">
        <f t="shared" si="0"/>
        <v>0</v>
      </c>
      <c r="N26" s="69">
        <f t="shared" si="1"/>
        <v>505.04000000000815</v>
      </c>
      <c r="O26" s="57" t="s">
        <v>231</v>
      </c>
      <c r="P26" s="69"/>
    </row>
    <row r="27" spans="1:16" x14ac:dyDescent="0.15">
      <c r="A27" s="118" t="s">
        <v>168</v>
      </c>
      <c r="B27" s="57" t="s">
        <v>193</v>
      </c>
      <c r="C27" s="57" t="s">
        <v>194</v>
      </c>
      <c r="D27" s="57" t="s">
        <v>10</v>
      </c>
      <c r="E27" s="57" t="s">
        <v>211</v>
      </c>
      <c r="F27" s="82">
        <v>45658</v>
      </c>
      <c r="G27" s="82">
        <v>46022</v>
      </c>
      <c r="H27" s="69">
        <v>76125.039999999994</v>
      </c>
      <c r="I27" s="69">
        <v>76546.13</v>
      </c>
      <c r="J27" s="69">
        <v>24823.46</v>
      </c>
      <c r="K27" s="69">
        <v>51212.49</v>
      </c>
      <c r="L27" s="69">
        <v>76035.95</v>
      </c>
      <c r="M27" s="69">
        <f t="shared" si="0"/>
        <v>89.089999999996508</v>
      </c>
      <c r="N27" s="69">
        <f t="shared" si="1"/>
        <v>510.18000000000757</v>
      </c>
      <c r="O27" s="57" t="s">
        <v>231</v>
      </c>
      <c r="P27" s="69"/>
    </row>
    <row r="30" spans="1:16" x14ac:dyDescent="0.15">
      <c r="B30" s="57" t="s">
        <v>234</v>
      </c>
      <c r="C30" s="57" t="s">
        <v>235</v>
      </c>
    </row>
  </sheetData>
  <autoFilter ref="A2:O2" xr:uid="{7EDA3E4F-4E7A-4A9D-9963-4787D508213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7C3CD-3C62-4ECA-AD17-DEC6FD93F36D}">
  <dimension ref="A1:R4"/>
  <sheetViews>
    <sheetView workbookViewId="0"/>
  </sheetViews>
  <sheetFormatPr baseColWidth="10" defaultColWidth="8.796875" defaultRowHeight="14" x14ac:dyDescent="0.2"/>
  <cols>
    <col min="1" max="1" width="10" style="2" bestFit="1" customWidth="1"/>
    <col min="2" max="2" width="7.59765625" style="2" bestFit="1" customWidth="1"/>
    <col min="3" max="3" width="8.796875" style="2" customWidth="1"/>
    <col min="4" max="4" width="35.3984375" style="2" bestFit="1" customWidth="1"/>
    <col min="5" max="5" width="14.19921875" style="2" bestFit="1" customWidth="1"/>
    <col min="6" max="6" width="16.19921875" style="2" bestFit="1" customWidth="1"/>
    <col min="7" max="7" width="13.59765625" style="2" bestFit="1" customWidth="1"/>
    <col min="8" max="9" width="9.796875" style="2" bestFit="1" customWidth="1"/>
    <col min="10" max="10" width="13.3984375" style="2" bestFit="1" customWidth="1"/>
    <col min="11" max="11" width="9.796875" style="2" bestFit="1" customWidth="1"/>
    <col min="12" max="12" width="14.796875" style="2" bestFit="1" customWidth="1"/>
    <col min="13" max="13" width="10.3984375" style="2" bestFit="1" customWidth="1"/>
    <col min="14" max="14" width="12" style="2" bestFit="1" customWidth="1"/>
    <col min="15" max="15" width="10.19921875" style="2" bestFit="1" customWidth="1"/>
    <col min="16" max="16" width="40.796875" style="2" bestFit="1" customWidth="1"/>
    <col min="17" max="17" width="24.19921875" style="2" customWidth="1"/>
    <col min="18" max="18" width="8.796875" style="1"/>
    <col min="19" max="16384" width="8.796875" style="2"/>
  </cols>
  <sheetData>
    <row r="1" spans="1:18" x14ac:dyDescent="0.2">
      <c r="A1" s="120" t="s">
        <v>125</v>
      </c>
      <c r="B1" s="121" t="s">
        <v>244</v>
      </c>
      <c r="C1" s="121" t="s">
        <v>245</v>
      </c>
      <c r="D1" s="121" t="s">
        <v>246</v>
      </c>
      <c r="E1" s="121" t="s">
        <v>247</v>
      </c>
      <c r="F1" s="121" t="s">
        <v>248</v>
      </c>
      <c r="G1" s="122" t="s">
        <v>249</v>
      </c>
      <c r="H1" s="122" t="s">
        <v>250</v>
      </c>
      <c r="I1" s="122" t="s">
        <v>251</v>
      </c>
      <c r="J1" s="122" t="s">
        <v>252</v>
      </c>
      <c r="K1" s="123" t="s">
        <v>142</v>
      </c>
      <c r="L1" s="121" t="s">
        <v>253</v>
      </c>
      <c r="M1" s="121" t="s">
        <v>254</v>
      </c>
      <c r="N1" s="124" t="s">
        <v>255</v>
      </c>
      <c r="O1" s="125" t="s">
        <v>256</v>
      </c>
      <c r="P1" s="124" t="s">
        <v>257</v>
      </c>
      <c r="Q1" s="124" t="s">
        <v>258</v>
      </c>
      <c r="R1" s="3" t="s">
        <v>278</v>
      </c>
    </row>
    <row r="2" spans="1:18" s="133" customFormat="1" x14ac:dyDescent="0.2">
      <c r="A2" s="126" t="s">
        <v>259</v>
      </c>
      <c r="B2" s="127" t="s">
        <v>260</v>
      </c>
      <c r="C2" s="127" t="s">
        <v>261</v>
      </c>
      <c r="D2" s="127" t="s">
        <v>149</v>
      </c>
      <c r="E2" s="127" t="s">
        <v>13</v>
      </c>
      <c r="F2" s="127" t="s">
        <v>148</v>
      </c>
      <c r="G2" s="128">
        <v>0</v>
      </c>
      <c r="H2" s="128">
        <v>0</v>
      </c>
      <c r="I2" s="128">
        <v>116250.05</v>
      </c>
      <c r="J2" s="128">
        <v>116250.05</v>
      </c>
      <c r="K2" s="129">
        <v>45820</v>
      </c>
      <c r="L2" s="127" t="s">
        <v>261</v>
      </c>
      <c r="M2" s="127" t="s">
        <v>265</v>
      </c>
      <c r="N2" s="130" t="s">
        <v>266</v>
      </c>
      <c r="O2" s="131" t="s">
        <v>267</v>
      </c>
      <c r="P2" s="130" t="s">
        <v>268</v>
      </c>
      <c r="Q2" s="130" t="s">
        <v>299</v>
      </c>
      <c r="R2" s="132" t="s">
        <v>126</v>
      </c>
    </row>
    <row r="3" spans="1:18" s="133" customFormat="1" x14ac:dyDescent="0.2">
      <c r="A3" s="134" t="s">
        <v>259</v>
      </c>
      <c r="B3" s="135" t="s">
        <v>262</v>
      </c>
      <c r="C3" s="135" t="s">
        <v>261</v>
      </c>
      <c r="D3" s="135" t="s">
        <v>263</v>
      </c>
      <c r="E3" s="135" t="s">
        <v>13</v>
      </c>
      <c r="F3" s="135" t="s">
        <v>264</v>
      </c>
      <c r="G3" s="136">
        <v>0</v>
      </c>
      <c r="H3" s="136">
        <v>0</v>
      </c>
      <c r="I3" s="136">
        <v>100750.04</v>
      </c>
      <c r="J3" s="136">
        <v>100750.04</v>
      </c>
      <c r="K3" s="137">
        <v>45834</v>
      </c>
      <c r="L3" s="135" t="s">
        <v>261</v>
      </c>
      <c r="M3" s="135" t="s">
        <v>265</v>
      </c>
      <c r="N3" s="130" t="s">
        <v>269</v>
      </c>
      <c r="O3" s="131" t="s">
        <v>267</v>
      </c>
      <c r="P3" s="130" t="s">
        <v>270</v>
      </c>
      <c r="Q3" s="130" t="s">
        <v>271</v>
      </c>
      <c r="R3" s="132" t="s">
        <v>127</v>
      </c>
    </row>
    <row r="4" spans="1:18" s="145" customFormat="1" x14ac:dyDescent="0.2">
      <c r="A4" s="138" t="s">
        <v>272</v>
      </c>
      <c r="B4" s="139" t="s">
        <v>273</v>
      </c>
      <c r="C4" s="139" t="s">
        <v>261</v>
      </c>
      <c r="D4" s="139" t="s">
        <v>274</v>
      </c>
      <c r="E4" s="139" t="s">
        <v>168</v>
      </c>
      <c r="F4" s="139" t="s">
        <v>275</v>
      </c>
      <c r="G4" s="140">
        <v>1.55</v>
      </c>
      <c r="H4" s="140">
        <v>1.55</v>
      </c>
      <c r="I4" s="140">
        <v>41850.01</v>
      </c>
      <c r="J4" s="140">
        <v>41853.11</v>
      </c>
      <c r="K4" s="141">
        <v>45835</v>
      </c>
      <c r="L4" s="139" t="s">
        <v>261</v>
      </c>
      <c r="M4" s="139" t="s">
        <v>265</v>
      </c>
      <c r="N4" s="142" t="s">
        <v>269</v>
      </c>
      <c r="O4" s="143" t="s">
        <v>267</v>
      </c>
      <c r="P4" s="142" t="s">
        <v>276</v>
      </c>
      <c r="Q4" s="142" t="s">
        <v>277</v>
      </c>
      <c r="R4" s="144" t="s">
        <v>279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13C8E-FC51-4230-BE41-5E23F6982C41}">
  <dimension ref="A1:Q32"/>
  <sheetViews>
    <sheetView workbookViewId="0"/>
  </sheetViews>
  <sheetFormatPr baseColWidth="10" defaultColWidth="8.796875" defaultRowHeight="12" x14ac:dyDescent="0.15"/>
  <cols>
    <col min="1" max="1" width="8.796875" style="57"/>
    <col min="2" max="2" width="10.796875" style="57" bestFit="1" customWidth="1"/>
    <col min="3" max="3" width="23.796875" style="57" customWidth="1"/>
    <col min="4" max="4" width="7.19921875" style="57" bestFit="1" customWidth="1"/>
    <col min="5" max="7" width="8.796875" style="57"/>
    <col min="8" max="9" width="11.59765625" style="57" bestFit="1" customWidth="1"/>
    <col min="10" max="10" width="9.59765625" style="57" bestFit="1" customWidth="1"/>
    <col min="11" max="11" width="8.796875" style="195"/>
    <col min="12" max="12" width="11" style="57" bestFit="1" customWidth="1"/>
    <col min="13" max="14" width="10.796875" style="57" bestFit="1" customWidth="1"/>
    <col min="15" max="15" width="6.3984375" style="57" bestFit="1" customWidth="1"/>
    <col min="16" max="16" width="10.796875" style="57" bestFit="1" customWidth="1"/>
    <col min="17" max="16384" width="8.796875" style="57"/>
  </cols>
  <sheetData>
    <row r="1" spans="1:17" x14ac:dyDescent="0.15">
      <c r="H1" s="266" t="s">
        <v>288</v>
      </c>
      <c r="I1" s="267"/>
      <c r="J1" s="267"/>
      <c r="K1" s="268"/>
      <c r="L1" s="269" t="s">
        <v>289</v>
      </c>
      <c r="M1" s="270"/>
      <c r="N1" s="270"/>
      <c r="O1" s="271"/>
      <c r="P1" s="3" t="s">
        <v>352</v>
      </c>
    </row>
    <row r="2" spans="1:17" x14ac:dyDescent="0.15">
      <c r="H2" s="146">
        <f>H3*1.55</f>
        <v>3062860.0159999998</v>
      </c>
      <c r="I2" s="148">
        <f>I3*1.55</f>
        <v>2230248.0040000002</v>
      </c>
      <c r="J2" s="148">
        <f>J3*1.55</f>
        <v>832612.0120000001</v>
      </c>
      <c r="K2" s="191"/>
      <c r="L2" s="146">
        <f>L3*1.55</f>
        <v>3299909.4106310108</v>
      </c>
      <c r="M2" s="148">
        <f>M3*1.55</f>
        <v>2270415.4526500003</v>
      </c>
      <c r="N2" s="148">
        <f>N3*1.55</f>
        <v>1029493.9579810097</v>
      </c>
      <c r="O2" s="110"/>
      <c r="P2" s="177">
        <f>L2-H2</f>
        <v>237049.39463101095</v>
      </c>
      <c r="Q2" s="150"/>
    </row>
    <row r="3" spans="1:17" x14ac:dyDescent="0.15">
      <c r="H3" s="147">
        <f>SUBTOTAL(9,H5:H26)</f>
        <v>1976038.72</v>
      </c>
      <c r="I3" s="147">
        <f t="shared" ref="I3:J3" si="0">SUBTOTAL(9,I5:I26)</f>
        <v>1438869.6800000002</v>
      </c>
      <c r="J3" s="147">
        <f t="shared" si="0"/>
        <v>537169.04</v>
      </c>
      <c r="K3" s="192">
        <f>J3/H3*100%</f>
        <v>0.27184135339210358</v>
      </c>
      <c r="L3" s="147">
        <f>SUBTOTAL(9,L5:L26)</f>
        <v>2128973.8133103293</v>
      </c>
      <c r="M3" s="147">
        <f t="shared" ref="M3:N3" si="1">SUBTOTAL(9,M5:M26)</f>
        <v>1464784.1630000002</v>
      </c>
      <c r="N3" s="147">
        <f t="shared" si="1"/>
        <v>664189.65031032881</v>
      </c>
      <c r="O3" s="149">
        <f>N3/L3*100%</f>
        <v>0.31197643022089788</v>
      </c>
    </row>
    <row r="4" spans="1:17" x14ac:dyDescent="0.15">
      <c r="A4" s="185" t="s">
        <v>280</v>
      </c>
      <c r="B4" s="186" t="s">
        <v>281</v>
      </c>
      <c r="C4" s="185" t="s">
        <v>282</v>
      </c>
      <c r="D4" s="185" t="s">
        <v>254</v>
      </c>
      <c r="E4" s="187" t="s">
        <v>283</v>
      </c>
      <c r="F4" s="187" t="s">
        <v>284</v>
      </c>
      <c r="G4" s="185" t="s">
        <v>285</v>
      </c>
      <c r="H4" s="188" t="s">
        <v>360</v>
      </c>
      <c r="I4" s="188" t="s">
        <v>361</v>
      </c>
      <c r="J4" s="188" t="s">
        <v>286</v>
      </c>
      <c r="K4" s="193" t="s">
        <v>287</v>
      </c>
      <c r="L4" s="189" t="s">
        <v>360</v>
      </c>
      <c r="M4" s="189" t="s">
        <v>361</v>
      </c>
      <c r="N4" s="189" t="s">
        <v>286</v>
      </c>
      <c r="O4" s="189" t="s">
        <v>287</v>
      </c>
      <c r="P4" s="3" t="s">
        <v>352</v>
      </c>
    </row>
    <row r="5" spans="1:17" x14ac:dyDescent="0.15">
      <c r="A5" s="178" t="s">
        <v>13</v>
      </c>
      <c r="B5" s="179" t="s">
        <v>45</v>
      </c>
      <c r="C5" s="178" t="s">
        <v>46</v>
      </c>
      <c r="D5" s="178" t="s">
        <v>10</v>
      </c>
      <c r="E5" s="180">
        <v>45151</v>
      </c>
      <c r="F5" s="180">
        <v>45835</v>
      </c>
      <c r="G5" s="181" t="s">
        <v>351</v>
      </c>
      <c r="H5" s="182">
        <v>0</v>
      </c>
      <c r="I5" s="182">
        <v>0</v>
      </c>
      <c r="J5" s="183">
        <f>H5-I5</f>
        <v>0</v>
      </c>
      <c r="K5" s="194" t="e">
        <f>J5/H5*100%</f>
        <v>#DIV/0!</v>
      </c>
      <c r="L5" s="182">
        <v>0</v>
      </c>
      <c r="M5" s="182">
        <v>0</v>
      </c>
      <c r="N5" s="183">
        <f>L5-M5</f>
        <v>0</v>
      </c>
      <c r="O5" s="155" t="e">
        <f>N5/L5*100%</f>
        <v>#DIV/0!</v>
      </c>
      <c r="P5" s="184">
        <f>L5-H5</f>
        <v>0</v>
      </c>
    </row>
    <row r="6" spans="1:17" x14ac:dyDescent="0.15">
      <c r="A6" s="178" t="s">
        <v>13</v>
      </c>
      <c r="B6" s="179" t="s">
        <v>49</v>
      </c>
      <c r="C6" s="178" t="s">
        <v>50</v>
      </c>
      <c r="D6" s="178" t="s">
        <v>10</v>
      </c>
      <c r="E6" s="180">
        <v>45245</v>
      </c>
      <c r="F6" s="180">
        <v>45869</v>
      </c>
      <c r="G6" s="181" t="s">
        <v>351</v>
      </c>
      <c r="H6" s="182">
        <v>224520</v>
      </c>
      <c r="I6" s="182">
        <v>6757.2</v>
      </c>
      <c r="J6" s="183">
        <f t="shared" ref="J6:J26" si="2">H6-I6</f>
        <v>217762.8</v>
      </c>
      <c r="K6" s="194">
        <f t="shared" ref="K6:K19" si="3">J6/H6*100%</f>
        <v>0.96990379476215927</v>
      </c>
      <c r="L6" s="182">
        <v>224519.77215014165</v>
      </c>
      <c r="M6" s="182">
        <v>6757.2</v>
      </c>
      <c r="N6" s="183">
        <f t="shared" ref="N6:N23" si="4">L6-M6</f>
        <v>217762.57215014164</v>
      </c>
      <c r="O6" s="155">
        <f t="shared" ref="O6:O23" si="5">N6/L6*100%</f>
        <v>0.96990376421956592</v>
      </c>
      <c r="P6" s="184">
        <f t="shared" ref="P6:P23" si="6">L6-H6</f>
        <v>-0.22784985834732652</v>
      </c>
    </row>
    <row r="7" spans="1:17" x14ac:dyDescent="0.15">
      <c r="A7" s="178" t="s">
        <v>13</v>
      </c>
      <c r="B7" s="179" t="s">
        <v>63</v>
      </c>
      <c r="C7" s="178" t="s">
        <v>64</v>
      </c>
      <c r="D7" s="178" t="s">
        <v>10</v>
      </c>
      <c r="E7" s="180">
        <v>45257</v>
      </c>
      <c r="F7" s="180">
        <v>46022</v>
      </c>
      <c r="G7" s="181" t="s">
        <v>351</v>
      </c>
      <c r="H7" s="182">
        <v>74132</v>
      </c>
      <c r="I7" s="182">
        <v>61562.07</v>
      </c>
      <c r="J7" s="183">
        <f t="shared" si="2"/>
        <v>12569.93</v>
      </c>
      <c r="K7" s="194">
        <f t="shared" si="3"/>
        <v>0.169561457939891</v>
      </c>
      <c r="L7" s="182">
        <v>72077.078512278385</v>
      </c>
      <c r="M7" s="182">
        <v>60622.325000000019</v>
      </c>
      <c r="N7" s="183">
        <f t="shared" si="4"/>
        <v>11454.753512278367</v>
      </c>
      <c r="O7" s="155">
        <f t="shared" si="5"/>
        <v>0.15892366545249251</v>
      </c>
      <c r="P7" s="184">
        <f t="shared" si="6"/>
        <v>-2054.9214877216145</v>
      </c>
    </row>
    <row r="8" spans="1:17" x14ac:dyDescent="0.15">
      <c r="A8" s="178" t="s">
        <v>13</v>
      </c>
      <c r="B8" s="179" t="s">
        <v>67</v>
      </c>
      <c r="C8" s="178" t="s">
        <v>345</v>
      </c>
      <c r="D8" s="178" t="s">
        <v>10</v>
      </c>
      <c r="E8" s="180">
        <v>45352</v>
      </c>
      <c r="F8" s="180">
        <v>46387</v>
      </c>
      <c r="G8" s="181" t="s">
        <v>351</v>
      </c>
      <c r="H8" s="182">
        <v>118270</v>
      </c>
      <c r="I8" s="182">
        <v>24417.68</v>
      </c>
      <c r="J8" s="183">
        <f t="shared" si="2"/>
        <v>93852.32</v>
      </c>
      <c r="K8" s="194">
        <f t="shared" si="3"/>
        <v>0.79354291029001445</v>
      </c>
      <c r="L8" s="182">
        <v>179865.78710053151</v>
      </c>
      <c r="M8" s="182">
        <v>73577.679999999978</v>
      </c>
      <c r="N8" s="183">
        <f t="shared" si="4"/>
        <v>106288.10710053153</v>
      </c>
      <c r="O8" s="155">
        <f t="shared" si="5"/>
        <v>0.59093009745719138</v>
      </c>
      <c r="P8" s="184">
        <f t="shared" si="6"/>
        <v>61595.78710053151</v>
      </c>
    </row>
    <row r="9" spans="1:17" x14ac:dyDescent="0.15">
      <c r="A9" s="178" t="s">
        <v>13</v>
      </c>
      <c r="B9" s="179" t="s">
        <v>73</v>
      </c>
      <c r="C9" s="178" t="s">
        <v>134</v>
      </c>
      <c r="D9" s="178" t="s">
        <v>10</v>
      </c>
      <c r="E9" s="180">
        <v>45425</v>
      </c>
      <c r="F9" s="180">
        <v>45961</v>
      </c>
      <c r="G9" s="181" t="s">
        <v>351</v>
      </c>
      <c r="H9" s="182">
        <v>514150</v>
      </c>
      <c r="I9" s="182">
        <v>452071.67999999999</v>
      </c>
      <c r="J9" s="183">
        <f t="shared" si="2"/>
        <v>62078.320000000007</v>
      </c>
      <c r="K9" s="194">
        <f t="shared" si="3"/>
        <v>0.12073970631138774</v>
      </c>
      <c r="L9" s="182">
        <v>490872.94654597249</v>
      </c>
      <c r="M9" s="182">
        <v>403228.00800000015</v>
      </c>
      <c r="N9" s="183">
        <f t="shared" si="4"/>
        <v>87644.938545972342</v>
      </c>
      <c r="O9" s="155">
        <f t="shared" si="5"/>
        <v>0.17854913203647901</v>
      </c>
      <c r="P9" s="184">
        <f t="shared" si="6"/>
        <v>-23277.053454027511</v>
      </c>
    </row>
    <row r="10" spans="1:17" x14ac:dyDescent="0.15">
      <c r="A10" s="178" t="s">
        <v>13</v>
      </c>
      <c r="B10" s="179" t="s">
        <v>88</v>
      </c>
      <c r="C10" s="178" t="s">
        <v>89</v>
      </c>
      <c r="D10" s="178" t="s">
        <v>10</v>
      </c>
      <c r="E10" s="180">
        <v>45566</v>
      </c>
      <c r="F10" s="180">
        <v>46022</v>
      </c>
      <c r="G10" s="181" t="s">
        <v>126</v>
      </c>
      <c r="H10" s="182">
        <v>0</v>
      </c>
      <c r="I10" s="182">
        <v>18013.14</v>
      </c>
      <c r="J10" s="183">
        <f t="shared" si="2"/>
        <v>-18013.14</v>
      </c>
      <c r="K10" s="194" t="e">
        <f t="shared" si="3"/>
        <v>#DIV/0!</v>
      </c>
      <c r="L10" s="182">
        <v>0</v>
      </c>
      <c r="M10" s="182">
        <v>17667.855</v>
      </c>
      <c r="N10" s="183">
        <f t="shared" si="4"/>
        <v>-17667.855</v>
      </c>
      <c r="O10" s="155" t="e">
        <f t="shared" si="5"/>
        <v>#DIV/0!</v>
      </c>
      <c r="P10" s="184">
        <f t="shared" si="6"/>
        <v>0</v>
      </c>
    </row>
    <row r="11" spans="1:17" x14ac:dyDescent="0.15">
      <c r="A11" s="178" t="s">
        <v>13</v>
      </c>
      <c r="B11" s="179" t="s">
        <v>91</v>
      </c>
      <c r="C11" s="178" t="s">
        <v>92</v>
      </c>
      <c r="D11" s="178" t="s">
        <v>10</v>
      </c>
      <c r="E11" s="180">
        <v>45597</v>
      </c>
      <c r="F11" s="180">
        <v>45869</v>
      </c>
      <c r="G11" s="181" t="s">
        <v>351</v>
      </c>
      <c r="H11" s="182">
        <v>54463</v>
      </c>
      <c r="I11" s="182">
        <v>43837.13</v>
      </c>
      <c r="J11" s="183">
        <f t="shared" si="2"/>
        <v>10625.870000000003</v>
      </c>
      <c r="K11" s="194">
        <f t="shared" si="3"/>
        <v>0.19510254668306928</v>
      </c>
      <c r="L11" s="182">
        <v>33378.722880021494</v>
      </c>
      <c r="M11" s="182">
        <v>26927.570000000003</v>
      </c>
      <c r="N11" s="183">
        <f t="shared" si="4"/>
        <v>6451.152880021491</v>
      </c>
      <c r="O11" s="155">
        <f t="shared" si="5"/>
        <v>0.19327141134817849</v>
      </c>
      <c r="P11" s="184">
        <f t="shared" si="6"/>
        <v>-21084.277119978506</v>
      </c>
    </row>
    <row r="12" spans="1:17" x14ac:dyDescent="0.15">
      <c r="A12" s="178" t="s">
        <v>13</v>
      </c>
      <c r="B12" s="179" t="s">
        <v>93</v>
      </c>
      <c r="C12" s="178" t="s">
        <v>94</v>
      </c>
      <c r="D12" s="178" t="s">
        <v>10</v>
      </c>
      <c r="E12" s="180">
        <v>45621</v>
      </c>
      <c r="F12" s="180">
        <v>45838</v>
      </c>
      <c r="G12" s="181" t="s">
        <v>351</v>
      </c>
      <c r="H12" s="182">
        <v>0</v>
      </c>
      <c r="I12" s="182">
        <v>0</v>
      </c>
      <c r="J12" s="183">
        <f t="shared" si="2"/>
        <v>0</v>
      </c>
      <c r="K12" s="194" t="e">
        <f t="shared" si="3"/>
        <v>#DIV/0!</v>
      </c>
      <c r="L12" s="182">
        <v>0</v>
      </c>
      <c r="M12" s="182">
        <v>0</v>
      </c>
      <c r="N12" s="183">
        <f t="shared" si="4"/>
        <v>0</v>
      </c>
      <c r="O12" s="155" t="e">
        <f t="shared" si="5"/>
        <v>#DIV/0!</v>
      </c>
      <c r="P12" s="184">
        <f t="shared" si="6"/>
        <v>0</v>
      </c>
    </row>
    <row r="13" spans="1:17" x14ac:dyDescent="0.15">
      <c r="A13" s="178" t="s">
        <v>13</v>
      </c>
      <c r="B13" s="179" t="s">
        <v>97</v>
      </c>
      <c r="C13" s="178" t="s">
        <v>332</v>
      </c>
      <c r="D13" s="178" t="s">
        <v>10</v>
      </c>
      <c r="E13" s="180">
        <v>45628</v>
      </c>
      <c r="F13" s="180">
        <v>46022</v>
      </c>
      <c r="G13" s="181" t="s">
        <v>351</v>
      </c>
      <c r="H13" s="182">
        <v>59193</v>
      </c>
      <c r="I13" s="182">
        <v>50466.68</v>
      </c>
      <c r="J13" s="183">
        <f t="shared" si="2"/>
        <v>8726.32</v>
      </c>
      <c r="K13" s="194">
        <f t="shared" si="3"/>
        <v>0.14742148564864088</v>
      </c>
      <c r="L13" s="182">
        <v>65957.972284548101</v>
      </c>
      <c r="M13" s="182">
        <v>55959.359999999979</v>
      </c>
      <c r="N13" s="183">
        <f t="shared" si="4"/>
        <v>9998.6122845481223</v>
      </c>
      <c r="O13" s="155">
        <f t="shared" si="5"/>
        <v>0.15159065596215252</v>
      </c>
      <c r="P13" s="184">
        <f t="shared" si="6"/>
        <v>6764.972284548101</v>
      </c>
    </row>
    <row r="14" spans="1:17" x14ac:dyDescent="0.15">
      <c r="A14" s="178" t="s">
        <v>13</v>
      </c>
      <c r="B14" s="179" t="s">
        <v>99</v>
      </c>
      <c r="C14" s="178" t="s">
        <v>333</v>
      </c>
      <c r="D14" s="178" t="s">
        <v>10</v>
      </c>
      <c r="E14" s="180">
        <v>45670</v>
      </c>
      <c r="F14" s="180">
        <v>46022</v>
      </c>
      <c r="G14" s="181" t="s">
        <v>351</v>
      </c>
      <c r="H14" s="182">
        <v>75976</v>
      </c>
      <c r="I14" s="182">
        <v>66177.960000000006</v>
      </c>
      <c r="J14" s="183">
        <f t="shared" si="2"/>
        <v>9798.0399999999936</v>
      </c>
      <c r="K14" s="194">
        <f t="shared" si="3"/>
        <v>0.12896230388543742</v>
      </c>
      <c r="L14" s="182">
        <v>65038.099793605332</v>
      </c>
      <c r="M14" s="182">
        <v>56613.2</v>
      </c>
      <c r="N14" s="183">
        <f t="shared" si="4"/>
        <v>8424.8997936053347</v>
      </c>
      <c r="O14" s="155">
        <f t="shared" si="5"/>
        <v>0.12953791424320929</v>
      </c>
      <c r="P14" s="184">
        <f t="shared" si="6"/>
        <v>-10937.900206394668</v>
      </c>
    </row>
    <row r="15" spans="1:17" x14ac:dyDescent="0.15">
      <c r="A15" s="178" t="s">
        <v>13</v>
      </c>
      <c r="B15" s="179" t="s">
        <v>101</v>
      </c>
      <c r="C15" s="178" t="s">
        <v>135</v>
      </c>
      <c r="D15" s="178" t="s">
        <v>10</v>
      </c>
      <c r="E15" s="180">
        <v>45658</v>
      </c>
      <c r="F15" s="180">
        <v>45996</v>
      </c>
      <c r="G15" s="181" t="s">
        <v>351</v>
      </c>
      <c r="H15" s="182">
        <v>110314</v>
      </c>
      <c r="I15" s="182">
        <v>94656.06</v>
      </c>
      <c r="J15" s="183">
        <f t="shared" si="2"/>
        <v>15657.940000000002</v>
      </c>
      <c r="K15" s="194">
        <f t="shared" si="3"/>
        <v>0.14193973566365106</v>
      </c>
      <c r="L15" s="182">
        <v>132860.38636315346</v>
      </c>
      <c r="M15" s="182">
        <v>107625.37499999997</v>
      </c>
      <c r="N15" s="183">
        <f t="shared" si="4"/>
        <v>25235.011363153491</v>
      </c>
      <c r="O15" s="155">
        <f t="shared" si="5"/>
        <v>0.18993630873673259</v>
      </c>
      <c r="P15" s="184">
        <f t="shared" si="6"/>
        <v>22546.386363153462</v>
      </c>
    </row>
    <row r="16" spans="1:17" x14ac:dyDescent="0.15">
      <c r="A16" s="178" t="s">
        <v>13</v>
      </c>
      <c r="B16" s="179" t="s">
        <v>102</v>
      </c>
      <c r="C16" s="178" t="s">
        <v>321</v>
      </c>
      <c r="D16" s="178" t="s">
        <v>10</v>
      </c>
      <c r="E16" s="180">
        <v>45659</v>
      </c>
      <c r="F16" s="180">
        <v>45930</v>
      </c>
      <c r="G16" s="181" t="s">
        <v>351</v>
      </c>
      <c r="H16" s="182">
        <v>59455</v>
      </c>
      <c r="I16" s="182">
        <v>49759.48</v>
      </c>
      <c r="J16" s="183">
        <f t="shared" si="2"/>
        <v>9695.5199999999968</v>
      </c>
      <c r="K16" s="194">
        <f t="shared" si="3"/>
        <v>0.1630732486754688</v>
      </c>
      <c r="L16" s="182">
        <v>69085.337527206168</v>
      </c>
      <c r="M16" s="182">
        <v>57850.87999999999</v>
      </c>
      <c r="N16" s="183">
        <f t="shared" si="4"/>
        <v>11234.457527206177</v>
      </c>
      <c r="O16" s="155">
        <f t="shared" si="5"/>
        <v>0.16261710413996297</v>
      </c>
      <c r="P16" s="184">
        <f t="shared" si="6"/>
        <v>9630.3375272061676</v>
      </c>
    </row>
    <row r="17" spans="1:16" x14ac:dyDescent="0.15">
      <c r="A17" s="178" t="s">
        <v>13</v>
      </c>
      <c r="B17" s="179" t="s">
        <v>103</v>
      </c>
      <c r="C17" s="178" t="s">
        <v>324</v>
      </c>
      <c r="D17" s="178" t="s">
        <v>10</v>
      </c>
      <c r="E17" s="180">
        <v>45677</v>
      </c>
      <c r="F17" s="180">
        <v>45930</v>
      </c>
      <c r="G17" s="181" t="s">
        <v>351</v>
      </c>
      <c r="H17" s="182">
        <v>45253</v>
      </c>
      <c r="I17" s="182">
        <v>39345.32</v>
      </c>
      <c r="J17" s="183">
        <f t="shared" si="2"/>
        <v>5907.68</v>
      </c>
      <c r="K17" s="194">
        <f t="shared" si="3"/>
        <v>0.13054780898503968</v>
      </c>
      <c r="L17" s="182">
        <v>59584.133244023949</v>
      </c>
      <c r="M17" s="182">
        <v>51542.400000000009</v>
      </c>
      <c r="N17" s="183">
        <f t="shared" si="4"/>
        <v>8041.7332440239406</v>
      </c>
      <c r="O17" s="155">
        <f t="shared" si="5"/>
        <v>0.13496434044092592</v>
      </c>
      <c r="P17" s="184">
        <f t="shared" si="6"/>
        <v>14331.133244023949</v>
      </c>
    </row>
    <row r="18" spans="1:16" x14ac:dyDescent="0.15">
      <c r="A18" s="178" t="s">
        <v>13</v>
      </c>
      <c r="B18" s="179" t="s">
        <v>130</v>
      </c>
      <c r="C18" s="178" t="s">
        <v>136</v>
      </c>
      <c r="D18" s="178" t="s">
        <v>10</v>
      </c>
      <c r="E18" s="180">
        <v>45658</v>
      </c>
      <c r="F18" s="180">
        <v>45869</v>
      </c>
      <c r="G18" s="181" t="s">
        <v>351</v>
      </c>
      <c r="H18" s="182">
        <v>0</v>
      </c>
      <c r="I18" s="182">
        <v>0</v>
      </c>
      <c r="J18" s="183">
        <f t="shared" si="2"/>
        <v>0</v>
      </c>
      <c r="K18" s="194" t="e">
        <f t="shared" si="3"/>
        <v>#DIV/0!</v>
      </c>
      <c r="L18" s="182">
        <v>0</v>
      </c>
      <c r="M18" s="182">
        <v>0</v>
      </c>
      <c r="N18" s="183">
        <f t="shared" si="4"/>
        <v>0</v>
      </c>
      <c r="O18" s="155" t="e">
        <f t="shared" si="5"/>
        <v>#DIV/0!</v>
      </c>
      <c r="P18" s="184">
        <f t="shared" si="6"/>
        <v>0</v>
      </c>
    </row>
    <row r="19" spans="1:16" x14ac:dyDescent="0.15">
      <c r="A19" s="178" t="s">
        <v>13</v>
      </c>
      <c r="B19" s="179" t="s">
        <v>196</v>
      </c>
      <c r="C19" s="178" t="s">
        <v>197</v>
      </c>
      <c r="D19" s="178" t="s">
        <v>10</v>
      </c>
      <c r="E19" s="180">
        <v>45748</v>
      </c>
      <c r="F19" s="180">
        <v>45991</v>
      </c>
      <c r="G19" s="181" t="s">
        <v>351</v>
      </c>
      <c r="H19" s="182">
        <v>69748</v>
      </c>
      <c r="I19" s="182">
        <v>56443.16</v>
      </c>
      <c r="J19" s="183">
        <f t="shared" si="2"/>
        <v>13304.839999999997</v>
      </c>
      <c r="K19" s="194">
        <f t="shared" si="3"/>
        <v>0.19075586396742553</v>
      </c>
      <c r="L19" s="182">
        <v>72317.838189575705</v>
      </c>
      <c r="M19" s="182">
        <v>58451.85</v>
      </c>
      <c r="N19" s="183">
        <f t="shared" si="4"/>
        <v>13865.988189575706</v>
      </c>
      <c r="O19" s="155">
        <f t="shared" si="5"/>
        <v>0.19173676283335619</v>
      </c>
      <c r="P19" s="184">
        <f t="shared" si="6"/>
        <v>2569.8381895757047</v>
      </c>
    </row>
    <row r="20" spans="1:16" x14ac:dyDescent="0.15">
      <c r="A20" s="178" t="s">
        <v>13</v>
      </c>
      <c r="B20" s="179" t="s">
        <v>198</v>
      </c>
      <c r="C20" s="178" t="s">
        <v>199</v>
      </c>
      <c r="D20" s="178" t="s">
        <v>10</v>
      </c>
      <c r="E20" s="180">
        <v>45778</v>
      </c>
      <c r="F20" s="180">
        <v>45884</v>
      </c>
      <c r="G20" s="181" t="s">
        <v>126</v>
      </c>
      <c r="H20" s="182">
        <v>39153.47</v>
      </c>
      <c r="I20" s="182">
        <v>29510.799999999999</v>
      </c>
      <c r="J20" s="183">
        <f t="shared" si="2"/>
        <v>9642.6700000000019</v>
      </c>
      <c r="K20" s="194">
        <f t="shared" ref="K20:K23" si="7">J20/H20*100%</f>
        <v>0.2462788100262889</v>
      </c>
      <c r="L20" s="182">
        <v>39153</v>
      </c>
      <c r="M20" s="182">
        <v>27576.460000000003</v>
      </c>
      <c r="N20" s="183">
        <f t="shared" ref="N20:N22" si="8">L20-M20</f>
        <v>11576.539999999997</v>
      </c>
      <c r="O20" s="155">
        <f t="shared" ref="O20:O22" si="9">N20/L20*100%</f>
        <v>0.29567440553725122</v>
      </c>
      <c r="P20" s="184">
        <f t="shared" si="6"/>
        <v>-0.47000000000116415</v>
      </c>
    </row>
    <row r="21" spans="1:16" x14ac:dyDescent="0.15">
      <c r="A21" s="178" t="s">
        <v>13</v>
      </c>
      <c r="B21" s="179" t="s">
        <v>325</v>
      </c>
      <c r="C21" s="178" t="s">
        <v>326</v>
      </c>
      <c r="D21" s="178" t="s">
        <v>10</v>
      </c>
      <c r="E21" s="180">
        <v>45810</v>
      </c>
      <c r="F21" s="180">
        <v>46108</v>
      </c>
      <c r="G21" s="181" t="s">
        <v>126</v>
      </c>
      <c r="H21" s="182">
        <v>101936.25</v>
      </c>
      <c r="I21" s="182">
        <v>15530.02</v>
      </c>
      <c r="J21" s="183">
        <f t="shared" si="2"/>
        <v>86406.23</v>
      </c>
      <c r="K21" s="194">
        <f t="shared" si="7"/>
        <v>0.84764968301266719</v>
      </c>
      <c r="L21" s="182">
        <v>101936.25</v>
      </c>
      <c r="M21" s="182">
        <v>15530.02</v>
      </c>
      <c r="N21" s="183">
        <f t="shared" si="8"/>
        <v>86406.23</v>
      </c>
      <c r="O21" s="155">
        <f t="shared" si="9"/>
        <v>0.84764968301266719</v>
      </c>
      <c r="P21" s="184">
        <f t="shared" si="6"/>
        <v>0</v>
      </c>
    </row>
    <row r="22" spans="1:16" x14ac:dyDescent="0.15">
      <c r="A22" s="178" t="s">
        <v>13</v>
      </c>
      <c r="B22" s="179" t="s">
        <v>331</v>
      </c>
      <c r="C22" s="178" t="s">
        <v>346</v>
      </c>
      <c r="D22" s="178" t="s">
        <v>10</v>
      </c>
      <c r="E22" s="180">
        <v>45824</v>
      </c>
      <c r="F22" s="180">
        <v>46080</v>
      </c>
      <c r="G22" s="181" t="s">
        <v>351</v>
      </c>
      <c r="H22" s="182">
        <v>24230</v>
      </c>
      <c r="I22" s="182">
        <v>20823.080000000002</v>
      </c>
      <c r="J22" s="183">
        <f t="shared" si="2"/>
        <v>3406.9199999999983</v>
      </c>
      <c r="K22" s="194">
        <f t="shared" si="7"/>
        <v>0.14060751134956659</v>
      </c>
      <c r="L22" s="182">
        <v>28704.425730653042</v>
      </c>
      <c r="M22" s="182">
        <v>24666.99</v>
      </c>
      <c r="N22" s="183">
        <f t="shared" si="8"/>
        <v>4037.4357306530401</v>
      </c>
      <c r="O22" s="155">
        <f t="shared" si="9"/>
        <v>0.14065551314414629</v>
      </c>
      <c r="P22" s="184">
        <f t="shared" si="6"/>
        <v>4474.4257306530417</v>
      </c>
    </row>
    <row r="23" spans="1:16" x14ac:dyDescent="0.15">
      <c r="A23" s="178" t="s">
        <v>13</v>
      </c>
      <c r="B23" s="179" t="s">
        <v>342</v>
      </c>
      <c r="C23" s="178" t="s">
        <v>343</v>
      </c>
      <c r="D23" s="178" t="s">
        <v>10</v>
      </c>
      <c r="E23" s="180">
        <v>45810</v>
      </c>
      <c r="F23" s="180">
        <v>46022</v>
      </c>
      <c r="G23" s="181" t="s">
        <v>351</v>
      </c>
      <c r="H23" s="182">
        <v>298144</v>
      </c>
      <c r="I23" s="182">
        <v>256434.98</v>
      </c>
      <c r="J23" s="183">
        <f t="shared" si="2"/>
        <v>41709.01999999999</v>
      </c>
      <c r="K23" s="194">
        <f t="shared" si="7"/>
        <v>0.13989555382633892</v>
      </c>
      <c r="L23" s="182">
        <v>287493.94695226947</v>
      </c>
      <c r="M23" s="182">
        <v>247515.76000000004</v>
      </c>
      <c r="N23" s="183">
        <f t="shared" si="4"/>
        <v>39978.186952269432</v>
      </c>
      <c r="O23" s="155">
        <f t="shared" si="5"/>
        <v>0.13905749103965212</v>
      </c>
      <c r="P23" s="184">
        <f t="shared" si="6"/>
        <v>-10650.053047730529</v>
      </c>
    </row>
    <row r="24" spans="1:16" x14ac:dyDescent="0.15">
      <c r="A24" s="178" t="s">
        <v>13</v>
      </c>
      <c r="B24" s="179" t="s">
        <v>344</v>
      </c>
      <c r="C24" s="178" t="s">
        <v>362</v>
      </c>
      <c r="D24" s="178" t="s">
        <v>10</v>
      </c>
      <c r="E24" s="180">
        <v>45824</v>
      </c>
      <c r="F24" s="180">
        <v>46022</v>
      </c>
      <c r="G24" s="181" t="s">
        <v>351</v>
      </c>
      <c r="H24" s="182">
        <v>107101</v>
      </c>
      <c r="I24" s="182">
        <v>100846.98</v>
      </c>
      <c r="J24" s="183">
        <f t="shared" si="2"/>
        <v>6254.0200000000041</v>
      </c>
      <c r="K24" s="194">
        <f t="shared" ref="K24" si="10">J24/H24*100%</f>
        <v>5.8393665792102818E-2</v>
      </c>
      <c r="L24" s="182">
        <v>98765.098811871067</v>
      </c>
      <c r="M24" s="182">
        <v>102711.08000000003</v>
      </c>
      <c r="N24" s="183">
        <f t="shared" ref="N24" si="11">L24-M24</f>
        <v>-3945.9811881289643</v>
      </c>
      <c r="O24" s="155">
        <f t="shared" ref="O24" si="12">N24/L24*100%</f>
        <v>-3.9953194353050933E-2</v>
      </c>
      <c r="P24" s="184">
        <f t="shared" ref="P24" si="13">L24-H24</f>
        <v>-8335.9011881289334</v>
      </c>
    </row>
    <row r="25" spans="1:16" x14ac:dyDescent="0.15">
      <c r="A25" s="178" t="s">
        <v>13</v>
      </c>
      <c r="B25" s="179" t="s">
        <v>340</v>
      </c>
      <c r="C25" s="178" t="s">
        <v>341</v>
      </c>
      <c r="D25" s="178" t="s">
        <v>10</v>
      </c>
      <c r="E25" s="180">
        <v>45839</v>
      </c>
      <c r="F25" s="180">
        <v>46387</v>
      </c>
      <c r="G25" s="181" t="s">
        <v>351</v>
      </c>
      <c r="H25" s="190">
        <v>0</v>
      </c>
      <c r="I25" s="182">
        <v>28990.91</v>
      </c>
      <c r="J25" s="183">
        <f t="shared" si="2"/>
        <v>-28990.91</v>
      </c>
      <c r="K25" s="194" t="e">
        <f t="shared" ref="K25:K26" si="14">J25/H25*100%</f>
        <v>#DIV/0!</v>
      </c>
      <c r="L25" s="190">
        <v>78214.753340180541</v>
      </c>
      <c r="M25" s="182">
        <v>45007.920000000013</v>
      </c>
      <c r="N25" s="183">
        <f t="shared" ref="N25:N26" si="15">L25-M25</f>
        <v>33206.833340180528</v>
      </c>
      <c r="O25" s="155">
        <f t="shared" ref="O25:O26" si="16">N25/L25*100%</f>
        <v>0.42455971440264695</v>
      </c>
      <c r="P25" s="184">
        <f t="shared" ref="P25:P26" si="17">L25-H25</f>
        <v>78214.753340180541</v>
      </c>
    </row>
    <row r="26" spans="1:16" x14ac:dyDescent="0.15">
      <c r="A26" s="178" t="s">
        <v>13</v>
      </c>
      <c r="B26" s="179" t="s">
        <v>363</v>
      </c>
      <c r="C26" s="178" t="s">
        <v>364</v>
      </c>
      <c r="D26" s="178" t="s">
        <v>10</v>
      </c>
      <c r="E26" s="180">
        <v>45870</v>
      </c>
      <c r="F26" s="180">
        <v>46053</v>
      </c>
      <c r="G26" s="181" t="s">
        <v>351</v>
      </c>
      <c r="H26" s="190">
        <v>0</v>
      </c>
      <c r="I26" s="182">
        <v>23225.35</v>
      </c>
      <c r="J26" s="183">
        <f t="shared" si="2"/>
        <v>-23225.35</v>
      </c>
      <c r="K26" s="194" t="e">
        <f t="shared" si="14"/>
        <v>#DIV/0!</v>
      </c>
      <c r="L26" s="190">
        <v>29148.263884296695</v>
      </c>
      <c r="M26" s="182">
        <v>24952.23</v>
      </c>
      <c r="N26" s="183">
        <f t="shared" si="15"/>
        <v>4196.0338842966958</v>
      </c>
      <c r="O26" s="155">
        <f t="shared" si="16"/>
        <v>0.14395484756665947</v>
      </c>
      <c r="P26" s="184">
        <f t="shared" si="17"/>
        <v>29148.263884296695</v>
      </c>
    </row>
    <row r="28" spans="1:16" x14ac:dyDescent="0.15">
      <c r="A28" s="3" t="s">
        <v>365</v>
      </c>
      <c r="B28" s="150">
        <v>4350000</v>
      </c>
    </row>
    <row r="29" spans="1:16" x14ac:dyDescent="0.15">
      <c r="A29" s="57" t="s">
        <v>13</v>
      </c>
      <c r="B29" s="150">
        <f>L2</f>
        <v>3299909.4106310108</v>
      </c>
    </row>
    <row r="30" spans="1:16" x14ac:dyDescent="0.15">
      <c r="A30" s="57" t="s">
        <v>168</v>
      </c>
      <c r="B30" s="150">
        <v>929997.13250000007</v>
      </c>
    </row>
    <row r="31" spans="1:16" x14ac:dyDescent="0.15">
      <c r="A31" s="3" t="s">
        <v>165</v>
      </c>
      <c r="B31" s="196">
        <v>4229906.5431310106</v>
      </c>
    </row>
    <row r="32" spans="1:16" x14ac:dyDescent="0.15">
      <c r="A32" s="197" t="s">
        <v>353</v>
      </c>
      <c r="B32" s="198">
        <f>B31-B28</f>
        <v>-120093.45686898939</v>
      </c>
    </row>
  </sheetData>
  <autoFilter ref="A4:I23" xr:uid="{39413C8E-FC51-4230-BE41-5E23F6982C41}"/>
  <mergeCells count="2">
    <mergeCell ref="H1:K1"/>
    <mergeCell ref="L1:O1"/>
  </mergeCells>
  <hyperlinks>
    <hyperlink ref="B5" r:id="rId1" xr:uid="{6CB6E124-6EEB-4943-8D60-D5AE67218D04}"/>
    <hyperlink ref="B6" r:id="rId2" xr:uid="{35A4609A-500A-45F6-8FD2-F1B4A816A4D6}"/>
    <hyperlink ref="B7" r:id="rId3" xr:uid="{EE9A6008-7B93-45B6-8704-FF732674DF37}"/>
    <hyperlink ref="B8" r:id="rId4" xr:uid="{6ABF1AAA-0A12-4ACC-ADCC-49F21F616147}"/>
    <hyperlink ref="B9" r:id="rId5" xr:uid="{85FCB772-8703-4648-AE01-572C519E27E6}"/>
    <hyperlink ref="B10" r:id="rId6" xr:uid="{72FE810F-F899-4738-A29F-2312800AE996}"/>
    <hyperlink ref="B11" r:id="rId7" xr:uid="{1C7E187D-88AD-4104-A399-43BBAEB5C0C0}"/>
    <hyperlink ref="B12" r:id="rId8" xr:uid="{44A2A288-BE18-42EC-B3FC-9C7F2C8F71E3}"/>
    <hyperlink ref="B13" r:id="rId9" xr:uid="{20AAB5E1-5F7B-421F-B8E6-E95117F03AE4}"/>
    <hyperlink ref="B14" r:id="rId10" xr:uid="{E0166FFD-9DB6-448B-8556-1643AE29A133}"/>
    <hyperlink ref="B15" r:id="rId11" xr:uid="{55FD4FF2-031E-4F42-9180-35E141E4E558}"/>
    <hyperlink ref="B16" r:id="rId12" xr:uid="{EB9002F3-EBB9-4CD9-A555-7071711B16D6}"/>
    <hyperlink ref="B17" r:id="rId13" xr:uid="{20AEC6F3-9237-4FE5-A014-391A1413802D}"/>
    <hyperlink ref="B18" r:id="rId14" xr:uid="{EB9D553D-9A85-4F46-9C1F-68383D509723}"/>
    <hyperlink ref="B19" r:id="rId15" xr:uid="{CB54C273-7275-4A41-B3C0-229BEAE873E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9A2CD-A54F-4D2C-B786-95FA73A03DAA}">
  <dimension ref="A1:R16"/>
  <sheetViews>
    <sheetView workbookViewId="0">
      <selection activeCell="L19" sqref="L19"/>
    </sheetView>
  </sheetViews>
  <sheetFormatPr baseColWidth="10" defaultColWidth="8.796875" defaultRowHeight="16" x14ac:dyDescent="0.2"/>
  <cols>
    <col min="1" max="1" width="14.3984375" style="241" bestFit="1" customWidth="1"/>
    <col min="2" max="2" width="14.3984375" style="241" customWidth="1"/>
    <col min="3" max="3" width="23.796875" style="241" bestFit="1" customWidth="1"/>
    <col min="4" max="4" width="19.19921875" style="241" bestFit="1" customWidth="1"/>
    <col min="5" max="5" width="12.59765625" style="241" customWidth="1"/>
    <col min="6" max="6" width="13" style="241" bestFit="1" customWidth="1"/>
    <col min="7" max="7" width="10.59765625" style="241" bestFit="1" customWidth="1"/>
    <col min="8" max="8" width="10" style="241" bestFit="1" customWidth="1"/>
    <col min="9" max="9" width="10" style="241" customWidth="1"/>
    <col min="10" max="16" width="13.796875" style="241" customWidth="1"/>
    <col min="17" max="17" width="13.19921875" style="241" bestFit="1" customWidth="1"/>
    <col min="18" max="16384" width="8.796875" style="241"/>
  </cols>
  <sheetData>
    <row r="1" spans="1:18" x14ac:dyDescent="0.2">
      <c r="A1" s="238" t="s">
        <v>247</v>
      </c>
      <c r="B1" s="238" t="s">
        <v>534</v>
      </c>
      <c r="C1" s="238" t="s">
        <v>245</v>
      </c>
      <c r="D1" s="238" t="s">
        <v>290</v>
      </c>
      <c r="E1" s="238" t="s">
        <v>356</v>
      </c>
      <c r="F1" s="238" t="s">
        <v>296</v>
      </c>
      <c r="G1" s="238" t="s">
        <v>297</v>
      </c>
      <c r="H1" s="238" t="s">
        <v>298</v>
      </c>
      <c r="I1" s="239" t="s">
        <v>532</v>
      </c>
      <c r="J1" s="239" t="s">
        <v>291</v>
      </c>
      <c r="K1" s="239" t="s">
        <v>292</v>
      </c>
      <c r="L1" s="239" t="s">
        <v>293</v>
      </c>
      <c r="M1" s="239" t="s">
        <v>294</v>
      </c>
      <c r="N1" s="239" t="s">
        <v>295</v>
      </c>
      <c r="O1" s="239" t="s">
        <v>355</v>
      </c>
      <c r="P1" s="239" t="s">
        <v>357</v>
      </c>
      <c r="Q1" s="240" t="s">
        <v>358</v>
      </c>
      <c r="R1" s="240" t="s">
        <v>128</v>
      </c>
    </row>
    <row r="2" spans="1:18" x14ac:dyDescent="0.2">
      <c r="A2" s="242" t="s">
        <v>13</v>
      </c>
      <c r="B2" s="242" t="s">
        <v>535</v>
      </c>
      <c r="C2" s="242" t="s">
        <v>528</v>
      </c>
      <c r="D2" s="242" t="s">
        <v>526</v>
      </c>
      <c r="E2" s="242" t="s">
        <v>529</v>
      </c>
      <c r="F2" s="242"/>
      <c r="G2" s="242"/>
      <c r="H2" s="243">
        <v>66.7667</v>
      </c>
      <c r="I2" s="250">
        <v>2675.8</v>
      </c>
      <c r="J2" s="251"/>
      <c r="K2" s="252"/>
      <c r="L2" s="244">
        <v>4839.6000000000004</v>
      </c>
      <c r="M2" s="245">
        <v>10682.672</v>
      </c>
      <c r="N2" s="245">
        <v>9595.92</v>
      </c>
      <c r="O2" s="245"/>
      <c r="P2" s="245"/>
      <c r="Q2" s="235" t="s">
        <v>359</v>
      </c>
      <c r="R2" s="235"/>
    </row>
    <row r="3" spans="1:18" x14ac:dyDescent="0.2">
      <c r="A3" s="242" t="s">
        <v>13</v>
      </c>
      <c r="B3" s="242" t="s">
        <v>536</v>
      </c>
      <c r="C3" s="242" t="s">
        <v>528</v>
      </c>
      <c r="D3" s="242" t="s">
        <v>527</v>
      </c>
      <c r="E3" s="242" t="s">
        <v>529</v>
      </c>
      <c r="F3" s="242"/>
      <c r="G3" s="242"/>
      <c r="H3" s="243">
        <v>66.7667</v>
      </c>
      <c r="I3" s="250">
        <v>10754.66</v>
      </c>
      <c r="J3" s="251"/>
      <c r="K3" s="252"/>
      <c r="L3" s="244">
        <v>19053.13</v>
      </c>
      <c r="M3" s="245">
        <v>8303.3495999999996</v>
      </c>
      <c r="N3" s="245">
        <v>10129.02</v>
      </c>
      <c r="O3" s="245"/>
      <c r="P3" s="245"/>
      <c r="Q3" s="235" t="s">
        <v>359</v>
      </c>
      <c r="R3" s="235"/>
    </row>
    <row r="4" spans="1:18" x14ac:dyDescent="0.2">
      <c r="A4" s="242" t="s">
        <v>13</v>
      </c>
      <c r="B4" s="242" t="s">
        <v>536</v>
      </c>
      <c r="C4" s="242" t="s">
        <v>531</v>
      </c>
      <c r="D4" s="242" t="s">
        <v>530</v>
      </c>
      <c r="E4" s="242" t="s">
        <v>529</v>
      </c>
      <c r="F4" s="242"/>
      <c r="G4" s="242"/>
      <c r="H4" s="243">
        <v>66.7667</v>
      </c>
      <c r="I4" s="250">
        <v>27898.670000000002</v>
      </c>
      <c r="J4" s="251"/>
      <c r="K4" s="251"/>
      <c r="L4" s="252"/>
      <c r="M4" s="245">
        <v>9613.8799999999992</v>
      </c>
      <c r="N4" s="245">
        <v>10662.13</v>
      </c>
      <c r="O4" s="245"/>
      <c r="P4" s="245"/>
      <c r="Q4" s="235" t="s">
        <v>359</v>
      </c>
      <c r="R4" s="235"/>
    </row>
    <row r="5" spans="1:18" x14ac:dyDescent="0.2">
      <c r="A5" s="242" t="s">
        <v>13</v>
      </c>
      <c r="B5" s="242" t="s">
        <v>537</v>
      </c>
      <c r="C5" s="242" t="s">
        <v>367</v>
      </c>
      <c r="D5" s="242" t="s">
        <v>533</v>
      </c>
      <c r="E5" s="242" t="s">
        <v>529</v>
      </c>
      <c r="F5" s="242"/>
      <c r="G5" s="242"/>
      <c r="H5" s="243">
        <v>97</v>
      </c>
      <c r="I5" s="245"/>
      <c r="J5" s="245"/>
      <c r="K5" s="245"/>
      <c r="L5" s="245"/>
      <c r="M5" s="245"/>
      <c r="N5" s="245">
        <v>9461.34</v>
      </c>
      <c r="O5" s="245"/>
      <c r="P5" s="245"/>
      <c r="Q5" s="235" t="s">
        <v>359</v>
      </c>
      <c r="R5" s="235"/>
    </row>
    <row r="6" spans="1:18" x14ac:dyDescent="0.2">
      <c r="A6" s="242" t="s">
        <v>539</v>
      </c>
      <c r="B6" s="242" t="s">
        <v>536</v>
      </c>
      <c r="C6" s="242" t="s">
        <v>420</v>
      </c>
      <c r="D6" s="242" t="s">
        <v>538</v>
      </c>
      <c r="E6" s="242" t="s">
        <v>529</v>
      </c>
      <c r="F6" s="249">
        <v>46143</v>
      </c>
      <c r="G6" s="242"/>
      <c r="H6" s="243"/>
      <c r="I6" s="245"/>
      <c r="J6" s="245"/>
      <c r="K6" s="245"/>
      <c r="L6" s="245"/>
      <c r="M6" s="245"/>
      <c r="N6" s="245"/>
      <c r="O6" s="245"/>
      <c r="P6" s="245"/>
      <c r="Q6" s="235"/>
      <c r="R6" s="235"/>
    </row>
    <row r="7" spans="1:18" x14ac:dyDescent="0.2">
      <c r="A7" s="242" t="s">
        <v>13</v>
      </c>
      <c r="B7" s="242" t="s">
        <v>542</v>
      </c>
      <c r="C7" s="242" t="s">
        <v>485</v>
      </c>
      <c r="D7" s="242" t="s">
        <v>540</v>
      </c>
      <c r="E7" s="242" t="s">
        <v>541</v>
      </c>
      <c r="F7" s="246"/>
      <c r="G7" s="246"/>
      <c r="H7" s="243"/>
      <c r="I7" s="245"/>
      <c r="J7" s="245"/>
      <c r="K7" s="245"/>
      <c r="L7" s="245"/>
      <c r="M7" s="245"/>
      <c r="N7" s="245"/>
      <c r="O7" s="245"/>
      <c r="P7" s="245"/>
      <c r="Q7" s="235"/>
      <c r="R7" s="235"/>
    </row>
    <row r="8" spans="1:18" s="247" customFormat="1" x14ac:dyDescent="0.2">
      <c r="A8" s="242"/>
      <c r="B8" s="242"/>
      <c r="C8" s="242"/>
      <c r="D8" s="242"/>
      <c r="E8" s="242"/>
      <c r="F8" s="246"/>
      <c r="G8" s="246"/>
      <c r="H8" s="243"/>
      <c r="I8" s="245"/>
      <c r="J8" s="245"/>
      <c r="K8" s="245"/>
      <c r="L8" s="245"/>
      <c r="M8" s="245"/>
      <c r="N8" s="245"/>
      <c r="O8" s="245"/>
      <c r="P8" s="245"/>
      <c r="Q8" s="235"/>
      <c r="R8" s="240"/>
    </row>
    <row r="9" spans="1:18" x14ac:dyDescent="0.2">
      <c r="A9" s="242"/>
      <c r="B9" s="242"/>
      <c r="C9" s="242"/>
      <c r="D9" s="242"/>
      <c r="E9" s="242"/>
      <c r="F9" s="246"/>
      <c r="G9" s="246"/>
      <c r="H9" s="243"/>
      <c r="I9" s="245"/>
      <c r="J9" s="245"/>
      <c r="K9" s="245"/>
      <c r="L9" s="245"/>
      <c r="M9" s="245"/>
      <c r="N9" s="245"/>
      <c r="O9" s="245"/>
      <c r="P9" s="245"/>
      <c r="Q9" s="235"/>
      <c r="R9" s="235"/>
    </row>
    <row r="10" spans="1:18" x14ac:dyDescent="0.2">
      <c r="A10" s="242"/>
      <c r="B10" s="242"/>
      <c r="C10" s="242"/>
      <c r="D10" s="242"/>
      <c r="E10" s="242"/>
      <c r="F10" s="246"/>
      <c r="G10" s="246"/>
      <c r="H10" s="243"/>
      <c r="I10" s="245"/>
      <c r="J10" s="245"/>
      <c r="K10" s="245"/>
      <c r="L10" s="245"/>
      <c r="M10" s="245"/>
      <c r="N10" s="245"/>
      <c r="O10" s="245"/>
      <c r="P10" s="245"/>
      <c r="Q10" s="235"/>
      <c r="R10" s="235"/>
    </row>
    <row r="11" spans="1:18" s="247" customFormat="1" x14ac:dyDescent="0.2">
      <c r="A11" s="242"/>
      <c r="B11" s="242"/>
      <c r="C11" s="242"/>
      <c r="D11" s="242"/>
      <c r="E11" s="242"/>
      <c r="F11" s="246"/>
      <c r="G11" s="246"/>
      <c r="H11" s="243"/>
      <c r="I11" s="245"/>
      <c r="J11" s="245"/>
      <c r="K11" s="245"/>
      <c r="L11" s="245"/>
      <c r="M11" s="245"/>
      <c r="N11" s="245"/>
      <c r="O11" s="245"/>
      <c r="P11" s="245"/>
      <c r="Q11" s="235"/>
      <c r="R11" s="240"/>
    </row>
    <row r="15" spans="1:18" x14ac:dyDescent="0.2">
      <c r="H15" s="248"/>
      <c r="I15" s="248"/>
      <c r="J15" s="248"/>
      <c r="K15" s="248"/>
      <c r="L15" s="248"/>
      <c r="M15" s="248"/>
      <c r="N15" s="248"/>
    </row>
    <row r="16" spans="1:18" x14ac:dyDescent="0.2">
      <c r="H16" s="248"/>
      <c r="I16" s="248"/>
      <c r="J16" s="248"/>
      <c r="K16" s="248"/>
      <c r="L16" s="248"/>
      <c r="M16" s="248"/>
      <c r="N16" s="248"/>
    </row>
  </sheetData>
  <autoFilter ref="A1:R11" xr:uid="{A7B9A2CD-A54F-4D2C-B786-95FA73A03DAA}"/>
  <mergeCells count="3">
    <mergeCell ref="I2:K2"/>
    <mergeCell ref="I3:K3"/>
    <mergeCell ref="I4:L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06C35-8E13-1746-AA5E-33D0C920FD30}">
  <dimension ref="A1:F2"/>
  <sheetViews>
    <sheetView workbookViewId="0">
      <selection activeCell="B1" sqref="B1"/>
    </sheetView>
  </sheetViews>
  <sheetFormatPr baseColWidth="10" defaultRowHeight="13" x14ac:dyDescent="0.15"/>
  <cols>
    <col min="1" max="1" width="5" bestFit="1" customWidth="1"/>
    <col min="2" max="3" width="17" bestFit="1" customWidth="1"/>
    <col min="4" max="4" width="15" bestFit="1" customWidth="1"/>
  </cols>
  <sheetData>
    <row r="1" spans="1:6" ht="16" x14ac:dyDescent="0.2">
      <c r="A1" s="240" t="s">
        <v>523</v>
      </c>
      <c r="B1" s="236">
        <v>4215198.7739999983</v>
      </c>
      <c r="C1" s="236">
        <v>3975432.621999993</v>
      </c>
      <c r="D1" s="236">
        <v>239766.15200000536</v>
      </c>
      <c r="E1" s="237">
        <v>5.6881339375718237E-2</v>
      </c>
      <c r="F1" t="s">
        <v>524</v>
      </c>
    </row>
    <row r="2" spans="1:6" ht="16" x14ac:dyDescent="0.2">
      <c r="A2" s="240" t="s">
        <v>523</v>
      </c>
      <c r="B2" s="236">
        <v>4215198.7739999983</v>
      </c>
      <c r="C2" s="236">
        <v>3554869.416999999</v>
      </c>
      <c r="D2" s="236">
        <v>660329.35699999938</v>
      </c>
      <c r="E2" s="237">
        <v>0.15665438153783245</v>
      </c>
      <c r="F2" t="s">
        <v>525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B2296-6B26-49F9-85A2-21CDCEE71E2D}">
  <dimension ref="A1:V4"/>
  <sheetViews>
    <sheetView workbookViewId="0">
      <pane xSplit="4" ySplit="2" topLeftCell="L3" activePane="bottomRight" state="frozen"/>
      <selection pane="topRight" activeCell="E1" sqref="E1"/>
      <selection pane="bottomLeft" activeCell="A3" sqref="A3"/>
      <selection pane="bottomRight" activeCell="AA2" sqref="AA2"/>
    </sheetView>
  </sheetViews>
  <sheetFormatPr baseColWidth="10" defaultColWidth="8.796875" defaultRowHeight="12" x14ac:dyDescent="0.15"/>
  <cols>
    <col min="1" max="1" width="9" style="57" customWidth="1"/>
    <col min="2" max="2" width="16.59765625" style="57" bestFit="1" customWidth="1"/>
    <col min="3" max="3" width="27.3984375" style="57" bestFit="1" customWidth="1"/>
    <col min="4" max="4" width="9.796875" style="57" bestFit="1" customWidth="1"/>
    <col min="5" max="5" width="8.59765625" style="57" bestFit="1" customWidth="1"/>
    <col min="6" max="6" width="11.19921875" style="57" bestFit="1" customWidth="1"/>
    <col min="7" max="8" width="7.796875" style="57" bestFit="1" customWidth="1"/>
    <col min="9" max="9" width="11" style="57" bestFit="1" customWidth="1"/>
    <col min="10" max="10" width="9.19921875" style="57" customWidth="1"/>
    <col min="11" max="16384" width="8.796875" style="57"/>
  </cols>
  <sheetData>
    <row r="1" spans="1:22" x14ac:dyDescent="0.15">
      <c r="A1" s="53"/>
      <c r="B1" s="54" t="s">
        <v>137</v>
      </c>
      <c r="C1" s="53"/>
      <c r="D1" s="53"/>
      <c r="E1" s="55" t="s">
        <v>138</v>
      </c>
      <c r="F1" s="56">
        <f>SUBTOTAL(9,F3:F6)</f>
        <v>348750.15</v>
      </c>
      <c r="K1" s="272" t="s">
        <v>161</v>
      </c>
      <c r="L1" s="272"/>
      <c r="M1" s="272"/>
      <c r="N1" s="272"/>
      <c r="O1" s="272"/>
      <c r="P1" s="272"/>
      <c r="Q1" s="272"/>
      <c r="R1" s="272"/>
      <c r="S1" s="272"/>
      <c r="T1" s="58"/>
    </row>
    <row r="2" spans="1:22" x14ac:dyDescent="0.15">
      <c r="A2" s="59" t="s">
        <v>139</v>
      </c>
      <c r="B2" s="59" t="s">
        <v>140</v>
      </c>
      <c r="C2" s="59" t="s">
        <v>141</v>
      </c>
      <c r="D2" s="60" t="s">
        <v>142</v>
      </c>
      <c r="E2" s="60" t="s">
        <v>162</v>
      </c>
      <c r="F2" s="61" t="s">
        <v>143</v>
      </c>
      <c r="G2" s="62" t="s">
        <v>150</v>
      </c>
      <c r="H2" s="62" t="s">
        <v>151</v>
      </c>
      <c r="I2" s="62" t="s">
        <v>163</v>
      </c>
      <c r="J2" s="62" t="s">
        <v>164</v>
      </c>
      <c r="K2" s="62" t="s">
        <v>152</v>
      </c>
      <c r="L2" s="62" t="s">
        <v>153</v>
      </c>
      <c r="M2" s="62" t="s">
        <v>154</v>
      </c>
      <c r="N2" s="62" t="s">
        <v>155</v>
      </c>
      <c r="O2" s="62" t="s">
        <v>156</v>
      </c>
      <c r="P2" s="62" t="s">
        <v>157</v>
      </c>
      <c r="Q2" s="62" t="s">
        <v>158</v>
      </c>
      <c r="R2" s="62" t="s">
        <v>159</v>
      </c>
      <c r="S2" s="62" t="s">
        <v>160</v>
      </c>
      <c r="T2" s="62" t="s">
        <v>165</v>
      </c>
      <c r="U2" s="3" t="s">
        <v>128</v>
      </c>
      <c r="V2" s="3" t="s">
        <v>166</v>
      </c>
    </row>
    <row r="3" spans="1:22" x14ac:dyDescent="0.15">
      <c r="A3" s="63" t="s">
        <v>144</v>
      </c>
      <c r="B3" s="63" t="s">
        <v>145</v>
      </c>
      <c r="C3" s="63" t="s">
        <v>146</v>
      </c>
      <c r="D3" s="64">
        <v>45797</v>
      </c>
      <c r="E3" s="8"/>
      <c r="F3" s="65">
        <v>232500.1</v>
      </c>
      <c r="G3" s="66">
        <v>45748</v>
      </c>
      <c r="H3" s="66">
        <v>46022</v>
      </c>
      <c r="I3" s="68">
        <v>750000</v>
      </c>
      <c r="J3" s="67"/>
      <c r="K3" s="68"/>
      <c r="L3" s="68"/>
      <c r="M3" s="68"/>
      <c r="N3" s="68"/>
      <c r="O3" s="68"/>
      <c r="P3" s="68"/>
      <c r="Q3" s="68"/>
      <c r="R3" s="68"/>
      <c r="S3" s="68"/>
      <c r="T3" s="68"/>
      <c r="U3" s="57" t="s">
        <v>167</v>
      </c>
    </row>
    <row r="4" spans="1:22" x14ac:dyDescent="0.15">
      <c r="A4" s="63" t="s">
        <v>147</v>
      </c>
      <c r="B4" s="63" t="s">
        <v>148</v>
      </c>
      <c r="C4" s="63" t="s">
        <v>149</v>
      </c>
      <c r="D4" s="64">
        <v>45797</v>
      </c>
      <c r="E4" s="8"/>
      <c r="F4" s="65">
        <v>116250.05</v>
      </c>
      <c r="G4" s="8"/>
      <c r="H4" s="8"/>
      <c r="I4" s="68">
        <v>432000</v>
      </c>
      <c r="J4" s="67"/>
      <c r="K4" s="68"/>
      <c r="L4" s="68"/>
      <c r="M4" s="68"/>
      <c r="N4" s="68"/>
      <c r="O4" s="68"/>
      <c r="P4" s="68"/>
      <c r="Q4" s="68"/>
      <c r="R4" s="68"/>
      <c r="S4" s="68"/>
      <c r="T4" s="68"/>
      <c r="U4" s="57" t="s">
        <v>167</v>
      </c>
    </row>
  </sheetData>
  <mergeCells count="1">
    <mergeCell ref="K1:S1"/>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L01560-2024</vt:lpstr>
      <vt:lpstr>STS-2025</vt:lpstr>
      <vt:lpstr>STS -2026</vt:lpstr>
      <vt:lpstr>Q1 2026</vt:lpstr>
      <vt:lpstr>Qtr Rev Variance</vt:lpstr>
      <vt:lpstr>TCV Vs EAC+Netting</vt:lpstr>
      <vt:lpstr>ISC</vt:lpstr>
      <vt:lpstr>MPOC Model</vt:lpstr>
      <vt:lpstr>Contractor</vt:lpstr>
      <vt:lpstr>Sheet1</vt:lpstr>
      <vt:lpstr>Signings</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Sudarshan Kumar</dc:creator>
  <cp:lastModifiedBy>Sudarshan Kumar</cp:lastModifiedBy>
  <dcterms:created xsi:type="dcterms:W3CDTF">2025-01-22T10:11:25Z</dcterms:created>
  <dcterms:modified xsi:type="dcterms:W3CDTF">2026-06-08T17:54:11Z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70bcdf-e424-40e3-9ceb-40cf94994388_Enabled">
    <vt:lpwstr>True</vt:lpwstr>
  </property>
  <property fmtid="{D5CDD505-2E9C-101B-9397-08002B2CF9AE}" pid="3" name="MSIP_Label_4470bcdf-e424-40e3-9ceb-40cf94994388_SiteId">
    <vt:lpwstr>fcf67057-50c9-4ad4-98f3-ffca64add9e9</vt:lpwstr>
  </property>
  <property fmtid="{D5CDD505-2E9C-101B-9397-08002B2CF9AE}" pid="4" name="MSIP_Label_4470bcdf-e424-40e3-9ceb-40cf94994388_SetDate">
    <vt:lpwstr>2025-01-28T07:52:29Z</vt:lpwstr>
  </property>
  <property fmtid="{D5CDD505-2E9C-101B-9397-08002B2CF9AE}" pid="5" name="MSIP_Label_4470bcdf-e424-40e3-9ceb-40cf94994388_Name">
    <vt:lpwstr>IBM Confidential</vt:lpwstr>
  </property>
  <property fmtid="{D5CDD505-2E9C-101B-9397-08002B2CF9AE}" pid="6" name="MSIP_Label_4470bcdf-e424-40e3-9ceb-40cf94994388_ActionId">
    <vt:lpwstr>59c3011d-799e-4233-8901-a901d6def08f</vt:lpwstr>
  </property>
  <property fmtid="{D5CDD505-2E9C-101B-9397-08002B2CF9AE}" pid="7" name="MSIP_Label_4470bcdf-e424-40e3-9ceb-40cf94994388_Removed">
    <vt:lpwstr>False</vt:lpwstr>
  </property>
  <property fmtid="{D5CDD505-2E9C-101B-9397-08002B2CF9AE}" pid="8" name="MSIP_Label_4470bcdf-e424-40e3-9ceb-40cf94994388_Extended_MSFT_Method">
    <vt:lpwstr>Standard</vt:lpwstr>
  </property>
  <property fmtid="{D5CDD505-2E9C-101B-9397-08002B2CF9AE}" pid="9" name="Sensitivity">
    <vt:lpwstr>IBM Confidential</vt:lpwstr>
  </property>
</Properties>
</file>